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OneDrive\Desktop\Faculdade\hobbyhub\6.Gerenciamento de Projeto\"/>
    </mc:Choice>
  </mc:AlternateContent>
  <xr:revisionPtr revIDLastSave="0" documentId="13_ncr:1_{AC377746-B69E-440C-B7AA-F00164C70E79}" xr6:coauthVersionLast="47" xr6:coauthVersionMax="47" xr10:uidLastSave="{00000000-0000-0000-0000-000000000000}"/>
  <bookViews>
    <workbookView xWindow="-108" yWindow="-108" windowWidth="23256" windowHeight="12456" activeTab="3" xr2:uid="{31237A52-FFD1-4E1D-B5BB-391D11929C61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state="hidden" r:id="rId6"/>
    <sheet name="#Planejamento-APF#" sheetId="7" state="hidden" r:id="rId7"/>
  </sheets>
  <definedNames>
    <definedName name="Restante">"OFFSET([$#REF!.$B$12];0;0;1;COUNT([$#REF!.$B$12:.$L$12]))"</definedName>
    <definedName name="Restante2">"OFFSET(#ref!,0,0,1,COUNT(#ref!)))"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15" i="7"/>
  <c r="K15" i="7"/>
  <c r="I15" i="7"/>
  <c r="G15" i="7"/>
  <c r="M12" i="7"/>
  <c r="M16" i="7" s="1"/>
  <c r="K12" i="7"/>
  <c r="I12" i="7"/>
  <c r="G12" i="7"/>
  <c r="B10" i="7"/>
  <c r="N23" i="6"/>
  <c r="N24" i="6" s="1"/>
  <c r="N25" i="6" s="1"/>
  <c r="N27" i="6" s="1"/>
  <c r="B4" i="7" s="1"/>
  <c r="K15" i="6"/>
  <c r="K14" i="6"/>
  <c r="K13" i="6"/>
  <c r="K10" i="6"/>
  <c r="K9" i="6"/>
  <c r="K16" i="6" s="1"/>
  <c r="F53" i="5"/>
  <c r="F52" i="5"/>
  <c r="F51" i="5"/>
  <c r="F50" i="5"/>
  <c r="I11" i="4"/>
  <c r="E11" i="4"/>
  <c r="J5" i="4"/>
  <c r="J11" i="4" s="1"/>
  <c r="B8" i="3"/>
  <c r="D49" i="2"/>
  <c r="D39" i="2"/>
  <c r="D21" i="2"/>
  <c r="L12" i="2"/>
  <c r="L11" i="2"/>
  <c r="D11" i="2"/>
  <c r="L10" i="2"/>
  <c r="L9" i="2"/>
  <c r="L8" i="2"/>
  <c r="L6" i="2"/>
  <c r="L5" i="2"/>
  <c r="K16" i="7" l="1"/>
  <c r="G16" i="7"/>
  <c r="I16" i="7"/>
  <c r="D50" i="2"/>
  <c r="B4" i="3" s="1"/>
  <c r="B10" i="3" s="1"/>
  <c r="B16" i="3" s="1"/>
  <c r="L6" i="7"/>
  <c r="B6" i="7"/>
  <c r="H6" i="7"/>
  <c r="J6" i="7"/>
  <c r="B11" i="3" l="1"/>
  <c r="B9" i="3" s="1"/>
  <c r="B18" i="3"/>
  <c r="B19" i="3" s="1"/>
  <c r="E2" i="4"/>
  <c r="L10" i="7"/>
  <c r="L7" i="7"/>
  <c r="L14" i="7"/>
  <c r="L11" i="7"/>
  <c r="L9" i="7"/>
  <c r="L13" i="7"/>
  <c r="L8" i="7"/>
  <c r="J13" i="7"/>
  <c r="J15" i="7" s="1"/>
  <c r="J8" i="7"/>
  <c r="J14" i="7"/>
  <c r="J11" i="7"/>
  <c r="J9" i="7"/>
  <c r="J10" i="7"/>
  <c r="J7" i="7"/>
  <c r="H14" i="7"/>
  <c r="H11" i="7"/>
  <c r="H9" i="7"/>
  <c r="H10" i="7"/>
  <c r="H7" i="7"/>
  <c r="H13" i="7"/>
  <c r="H15" i="7" s="1"/>
  <c r="H8" i="7"/>
  <c r="B11" i="7"/>
  <c r="B18" i="7"/>
  <c r="F6" i="7"/>
  <c r="B12" i="3" l="1"/>
  <c r="B21" i="3"/>
  <c r="B22" i="3" s="1"/>
  <c r="B12" i="7"/>
  <c r="B13" i="7"/>
  <c r="H12" i="7"/>
  <c r="H16" i="7" s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L16" i="7" s="1"/>
  <c r="B20" i="7"/>
  <c r="B21" i="7" s="1"/>
  <c r="B23" i="7" l="1"/>
  <c r="B24" i="7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F09D029A-DC2F-4E71-9626-A46A6761D8FF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39D0820C-6B3F-4D50-ABEB-EEB98DDD8701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44073A9-2E07-4F4A-959B-045EFEA23B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EF41F867-8934-4F6F-A624-8F096A4B056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C9C1AE07-EE2E-48B5-9ACB-AE90FF0BBBAA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A4E33820-B293-40B5-8667-473563FA1B0C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738CE15-15BA-482A-9AFB-7C261408AB0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B23EA723-AC04-49FA-9829-E675B0962FF7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E1CFCE89-83FF-427E-9A20-3BB6FAF01A78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48693E3A-7FBB-4E5C-9943-36FE14592A05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44C1FA22-EF3E-4A06-9411-500CA33129A2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9D5BAE27-3388-49FF-AB4F-803ADFE6F919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93FFE98A-CD96-4C2F-814B-713D0C2A3B7F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38E278B-6A5F-4DCA-8ACC-FC7D0B402647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99BA9860-9F95-48ED-AED8-2A29452257EA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D801DE9E-A9A7-466E-8C5D-1F01EB2A129C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4666655F-1D94-461B-A9DA-75FBAD8F15D6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D10C5978-AF9D-443D-9505-5E1336850812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45949B38-6FF6-445F-B7D3-8C4A79FE3BA5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1176A864-EEE2-438A-A231-C913FC5CEBC1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2C489330-E95C-46B1-948F-AFE89ED903BB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19B1ED22-5F95-4672-A6D6-D8C871D61358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8630AAC-C865-4408-899A-741CAF251139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B2D20512-5DE1-4994-9E4C-4479A3EC0121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13C056B8-24C4-4957-AE85-F2AF73BD094B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7A5BD5DD-97FC-4E37-A913-D4F01B20FD54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3A54FA17-E09A-483B-AFE8-AFEF2653C6C6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EEF32C77-DAC9-4EA5-9722-174182358F43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6C3C43B1-6A46-41D9-9FF1-897B1F2C5422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631FC066-2042-4AAF-B706-CB15D0AB760D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4D4304EB-AC7F-4D6A-826E-805AE62CB9EC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3E16F7AA-B770-4AD0-B379-D78AE0CC0602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EFDBE0FB-8597-4403-B8A5-9E04003F3C05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58242273-D3A3-45EF-8E52-E81392311A25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20F5961C-8925-4AD6-838E-0B84DAFABAEA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6BC666E8-99E1-4ACD-88A9-A4F4530337FB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EC68CA44-06EE-4990-BB89-9CF1508686E5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7FF3C0AE-C98B-44AA-B360-A232AB6ECD31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C249881E-6679-4197-BDDD-F500580CBA6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32A8C5DF-DDD4-4F99-A308-B056D9FDFCFE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4EBC0698-A9ED-42AB-899A-9BF085F1A1C6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DD4F5BFC-E750-40E1-BA83-A1062B88CF73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C0FDCBD8-EBA7-4585-83AB-861E28E95AEA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EB6BB217-94CD-4796-9F25-C303CEDE2AAB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C6CFFC64-913A-44F7-9561-E66C9DC09A55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A78686F5-9317-49C2-B1B4-18DABCC8A35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BA56668C-C7D1-4D76-B4AD-DF7EF7D45DF4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4401F897-C141-47ED-B278-9624A29C41F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D613AA2D-0CB1-4901-842B-66EA157955AA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7E3FECDA-A766-481A-A4E6-AFD5A0B0CAFB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3C2B958-69C9-4254-AF88-7A6BD5A29EBD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<sst xmlns="http://schemas.openxmlformats.org/spreadsheetml/2006/main" count="388" uniqueCount="276">
  <si>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</si>
  <si>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</si>
  <si>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</si>
  <si>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</si>
  <si>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</si>
  <si>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</si>
  <si>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</si>
  <si>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</si>
  <si>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</si>
  <si>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</si>
  <si>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</si>
  <si>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</si>
  <si>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</si>
  <si>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</si>
  <si>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</si>
  <si>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</si>
  <si>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</si>
  <si>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</si>
  <si>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</si>
  <si>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</si>
  <si>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</si>
  <si>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</si>
  <si>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</si>
  <si>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</si>
  <si>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</si>
  <si>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</si>
  <si>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</si>
  <si>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</si>
  <si>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</si>
  <si>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</si>
  <si>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</si>
  <si>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</si>
  <si>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</si>
  <si>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</si>
  <si>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</si>
  <si>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</si>
  <si>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</si>
  <si>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</si>
  <si>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</si>
  <si>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</si>
  <si>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</si>
  <si>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</si>
  <si>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</si>
  <si>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</si>
  <si>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</si>
  <si>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</si>
  <si>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</si>
  <si>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</si>
  <si>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</si>
  <si>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</si>
  <si>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</si>
  <si>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</si>
  <si>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</si>
  <si>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</si>
  <si>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</si>
  <si>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</si>
  <si>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</si>
  <si>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</si>
  <si>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</si>
  <si>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</si>
  <si>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</si>
  <si>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</si>
  <si>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</si>
  <si>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</si>
  <si>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</si>
  <si>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</si>
  <si>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</si>
  <si>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</si>
  <si>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</si>
  <si>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</si>
  <si>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</si>
  <si>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</si>
  <si>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</si>
  <si>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</si>
  <si>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</si>
  <si>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</si>
  <si>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</si>
  <si>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</si>
  <si>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</si>
  <si>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</si>
  <si>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</si>
  <si>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</si>
  <si>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</si>
  <si>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</si>
  <si>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</si>
  <si>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</si>
  <si>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</si>
  <si>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</si>
  <si>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</si>
  <si>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</si>
  <si>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</si>
  <si>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</si>
  <si>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</si>
  <si>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</si>
  <si>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</si>
  <si>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</si>
  <si>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</si>
  <si>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</si>
  <si>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</si>
  <si>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</si>
  <si>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</si>
  <si>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</si>
  <si>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</si>
  <si>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</si>
  <si>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</si>
  <si>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</si>
  <si>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</si>
  <si>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</si>
  <si>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</si>
  <si>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</si>
  <si>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</si>
  <si>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</si>
  <si>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</si>
  <si>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</si>
  <si>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</si>
  <si>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</si>
  <si>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</si>
  <si>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</si>
  <si>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</si>
  <si>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</si>
  <si>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</si>
  <si>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</si>
  <si>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</si>
  <si>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</si>
  <si>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</si>
  <si>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</si>
  <si>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</si>
  <si>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</si>
  <si>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</si>
  <si>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</si>
  <si>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</si>
  <si>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</si>
  <si>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</si>
  <si>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</si>
  <si>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</si>
  <si>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</si>
  <si>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</si>
  <si>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</si>
  <si>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</si>
  <si>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</si>
  <si>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</si>
  <si>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</si>
  <si>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</si>
  <si>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</si>
  <si>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</si>
  <si>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</si>
  <si>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</si>
  <si>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</si>
  <si>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</si>
  <si>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</si>
  <si>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</si>
  <si>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</si>
  <si>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</si>
  <si>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</si>
  <si>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</si>
  <si>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</si>
  <si>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</si>
  <si>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</si>
  <si>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</si>
  <si>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</si>
  <si>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</si>
  <si>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</si>
  <si>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</si>
  <si>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</si>
  <si>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</si>
  <si>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</si>
  <si>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</si>
  <si>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</si>
  <si>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</si>
  <si>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</si>
  <si>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</si>
  <si>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</si>
  <si>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</si>
  <si>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</si>
  <si>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</si>
  <si>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</si>
  <si>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</si>
  <si>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</si>
  <si>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</si>
  <si>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</si>
  <si>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</si>
  <si>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</si>
  <si>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</si>
  <si>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</si>
  <si>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</si>
  <si>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</si>
  <si>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</si>
  <si>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</si>
  <si>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</si>
  <si>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</si>
  <si>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</si>
  <si>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</si>
  <si>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</si>
  <si>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</si>
  <si>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</si>
  <si>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</si>
  <si>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</si>
  <si>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</si>
  <si>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</si>
  <si>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</si>
  <si>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</si>
  <si>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</si>
  <si>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</si>
  <si>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</si>
  <si>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</si>
  <si>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</si>
  <si>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</si>
  <si>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</si>
  <si>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</si>
  <si>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</si>
  <si>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</si>
  <si>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</si>
  <si>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</si>
  <si>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</si>
  <si>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</si>
  <si>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</si>
  <si>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</si>
  <si>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HH - HobbyHub</t>
  </si>
  <si>
    <t>Fábio Henrique Santos Barros</t>
  </si>
  <si>
    <t>Pedro Henrique Nascimento Melo</t>
  </si>
  <si>
    <t>Vitória Bittencourte Galliac</t>
  </si>
  <si>
    <t>Camilly Lima Sampaio</t>
  </si>
  <si>
    <t>Alisson da Silva Moura</t>
  </si>
  <si>
    <t>barros.fabio@aluno.ifsp.edu.br</t>
  </si>
  <si>
    <t>melo.nascimento@aluno.ifsp.edu.br</t>
  </si>
  <si>
    <t>galliac.vitoria@aluno.ifsp.edu.br</t>
  </si>
  <si>
    <t>camilly.sampaio@aluno.ifsp.edu.br</t>
  </si>
  <si>
    <t>m.alisson@aluno.ifsp.edu.br</t>
  </si>
  <si>
    <t>Modelar, Implementar e Testar o UC02 - Realizar login</t>
  </si>
  <si>
    <t>Modelar, Implementar e Testar o UC03 - Editar Perfil</t>
  </si>
  <si>
    <t>Modelar o UC04 - Visualizar perfil de usuários</t>
  </si>
  <si>
    <t>Modelar o UC06 - Visualizar posts</t>
  </si>
  <si>
    <t>Modelar, Implementar e Testar o UC06 - Visualizar posts</t>
  </si>
  <si>
    <t>Modelar o UC07 - Manter posts</t>
  </si>
  <si>
    <t>Modelar, Implementar e Testar o UC07 - Manter posts</t>
  </si>
  <si>
    <t>Modelar o UC08 - Manter tags</t>
  </si>
  <si>
    <t>Modelar, Implementar e Testar o UC08 - Manter tags</t>
  </si>
  <si>
    <t>UC01 - Cadastrar-se</t>
  </si>
  <si>
    <t>UC02 - Realizar login</t>
  </si>
  <si>
    <t>UC03 - Editar Perfil</t>
  </si>
  <si>
    <t>UC04 - Visualizar perfil de usuários</t>
  </si>
  <si>
    <t>UC05 - Postar</t>
  </si>
  <si>
    <t>UC06 - Visualizar posts</t>
  </si>
  <si>
    <t>UC07 - Manter posts</t>
  </si>
  <si>
    <t>UC08 - Manter tags</t>
  </si>
  <si>
    <t>UC07 (Manter Posts) + Testes de Integração + Ajustes de usabilidade</t>
  </si>
  <si>
    <t>Execução de Testes de Homologação, Guia de Implantação, Treinamento e Deploy em Produção</t>
  </si>
  <si>
    <t>v0.1.0</t>
  </si>
  <si>
    <t>v0.2.0</t>
  </si>
  <si>
    <t>v0.3.0</t>
  </si>
  <si>
    <t>v0.4.0</t>
  </si>
  <si>
    <t>v0.5.0</t>
  </si>
  <si>
    <t>v1.0.0</t>
  </si>
  <si>
    <t>Realizar acompanhamento diário (Daily) e manter o Backlog priorizado.</t>
  </si>
  <si>
    <t>N/A</t>
  </si>
  <si>
    <t>Reorganizar o escopo da Sprint, alocando tarefas críticas para devs mais experientes.</t>
  </si>
  <si>
    <t>Baixa familiaridade do time com as tecnologias do projeto</t>
  </si>
  <si>
    <t>Promover alinhamentos técnicos e pareamento de devs na Sprint 2</t>
  </si>
  <si>
    <t>Reutilizar bibliotecas e componentes já prontos e consolidados no mercado.</t>
  </si>
  <si>
    <t>Falta de disponibilidade ou ausência de membro da equipe</t>
  </si>
  <si>
    <t>Manter documentação clara das tarefas e código bem versionado</t>
  </si>
  <si>
    <t>Redistribuir a carga horária e tarefas entre os demais integrantes</t>
  </si>
  <si>
    <t>Mudança recorrente no escopo dos casos de uso</t>
  </si>
  <si>
    <t>Fixar o escopo e congelar o Backlog após a aprovação da fase de Iniciação/Elaboração.</t>
  </si>
  <si>
    <t>Validar protótipos de tela com o PO antes do desenvolvimento de cada funcionalidade.</t>
  </si>
  <si>
    <t>Repriorizar o Backlog no início da Sprint seguinte via VRDC.</t>
  </si>
  <si>
    <t>Especificar, Analisar e Projetar UC05 - Postar</t>
  </si>
  <si>
    <t>Modelar o UC01 - Cadastrar-se</t>
  </si>
  <si>
    <t>Modelar, Implementar e Testar o UC01 - Cadastrar-se</t>
  </si>
  <si>
    <t>Modelar UC02 - Realizar login</t>
  </si>
  <si>
    <t>Modelar o UC03 - Editar Perfil</t>
  </si>
  <si>
    <t>Modelar, Implementar e UC04 - Visualizar perfil de usuários</t>
  </si>
  <si>
    <t>Protótipo de Arquitetura + UC5(Postar)</t>
  </si>
  <si>
    <t>Em execução</t>
  </si>
  <si>
    <t>UC01 (Cadastrar) + UC02 (Logar)</t>
  </si>
  <si>
    <t>UC06 (Visualizar Posts) + UC04 (Visualizar Perfil) + UC03 (Editar Perfil) + UC08 (Manter Tags)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</si>
</sst>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3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37" fillId="0" borderId="0" applyNumberFormat="0" applyFill="0" applyBorder="0" applyAlignment="0" applyProtection="0"/>
  </cellStyleXfs>
  <cellXfs count="158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19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19" fillId="6" borderId="1" xfId="10" applyFont="1" applyFill="1" applyBorder="1" applyProtection="1"/>
    <xf numFmtId="164" fontId="19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2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3" fillId="6" borderId="1" xfId="10" applyFont="1" applyFill="1" applyBorder="1" applyProtection="1"/>
    <xf numFmtId="165" fontId="23" fillId="6" borderId="1" xfId="10" applyNumberFormat="1" applyFont="1" applyFill="1" applyBorder="1" applyAlignment="1" applyProtection="1">
      <alignment horizontal="center"/>
    </xf>
    <xf numFmtId="164" fontId="23" fillId="6" borderId="1" xfId="10" applyFont="1" applyFill="1" applyBorder="1" applyAlignment="1" applyProtection="1">
      <alignment horizontal="left"/>
    </xf>
    <xf numFmtId="165" fontId="19" fillId="6" borderId="1" xfId="10" applyNumberFormat="1" applyFont="1" applyFill="1" applyBorder="1" applyAlignment="1" applyProtection="1">
      <alignment horizontal="center"/>
    </xf>
    <xf numFmtId="168" fontId="22" fillId="3" borderId="1" xfId="9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Alignment="1" applyProtection="1">
      <alignment horizontal="left"/>
    </xf>
    <xf numFmtId="168" fontId="22" fillId="6" borderId="1" xfId="9" applyFont="1" applyFill="1" applyBorder="1" applyAlignment="1" applyProtection="1">
      <alignment horizontal="center"/>
    </xf>
    <xf numFmtId="168" fontId="22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8" fontId="24" fillId="6" borderId="1" xfId="10" applyNumberFormat="1" applyFont="1" applyFill="1" applyBorder="1" applyProtection="1"/>
    <xf numFmtId="168" fontId="22" fillId="6" borderId="1" xfId="10" applyNumberFormat="1" applyFont="1" applyFill="1" applyBorder="1" applyProtection="1"/>
    <xf numFmtId="164" fontId="20" fillId="5" borderId="1" xfId="10" applyFont="1" applyFill="1" applyBorder="1" applyAlignment="1" applyProtection="1">
      <alignment horizontal="left"/>
    </xf>
    <xf numFmtId="165" fontId="20" fillId="5" borderId="1" xfId="10" applyNumberFormat="1" applyFont="1" applyFill="1" applyBorder="1" applyAlignment="1" applyProtection="1">
      <alignment horizontal="center"/>
    </xf>
    <xf numFmtId="164" fontId="26" fillId="10" borderId="3" xfId="10" applyFont="1" applyFill="1" applyBorder="1" applyAlignment="1" applyProtection="1">
      <alignment horizontal="left"/>
    </xf>
    <xf numFmtId="165" fontId="26" fillId="10" borderId="7" xfId="10" applyNumberFormat="1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left"/>
    </xf>
    <xf numFmtId="164" fontId="26" fillId="10" borderId="1" xfId="10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center" vertical="center"/>
    </xf>
    <xf numFmtId="164" fontId="26" fillId="10" borderId="7" xfId="10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 vertical="center"/>
    </xf>
    <xf numFmtId="164" fontId="22" fillId="0" borderId="8" xfId="10" applyFont="1" applyBorder="1" applyAlignment="1" applyProtection="1">
      <alignment horizontal="left"/>
    </xf>
    <xf numFmtId="164" fontId="22" fillId="0" borderId="0" xfId="10" applyFont="1" applyProtection="1"/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28" fillId="12" borderId="0" xfId="10" applyFont="1" applyFill="1" applyAlignment="1" applyProtection="1">
      <alignment wrapText="1"/>
    </xf>
    <xf numFmtId="164" fontId="29" fillId="13" borderId="1" xfId="10" applyFont="1" applyFill="1" applyBorder="1" applyAlignment="1" applyProtection="1">
      <alignment wrapText="1"/>
    </xf>
    <xf numFmtId="164" fontId="28" fillId="12" borderId="1" xfId="10" applyFont="1" applyFill="1" applyBorder="1" applyAlignment="1" applyProtection="1">
      <alignment wrapText="1"/>
    </xf>
    <xf numFmtId="164" fontId="28" fillId="12" borderId="0" xfId="10" applyFont="1" applyFill="1" applyAlignment="1" applyProtection="1">
      <alignment horizontal="left" wrapText="1"/>
    </xf>
    <xf numFmtId="164" fontId="28" fillId="12" borderId="1" xfId="10" applyFont="1" applyFill="1" applyBorder="1" applyAlignment="1" applyProtection="1">
      <alignment horizontal="left" wrapText="1"/>
    </xf>
    <xf numFmtId="164" fontId="28" fillId="12" borderId="6" xfId="10" applyFont="1" applyFill="1" applyBorder="1" applyAlignment="1" applyProtection="1">
      <alignment wrapText="1"/>
    </xf>
    <xf numFmtId="164" fontId="29" fillId="13" borderId="6" xfId="10" applyFont="1" applyFill="1" applyBorder="1" applyAlignment="1" applyProtection="1">
      <alignment vertical="center" wrapText="1"/>
    </xf>
    <xf numFmtId="164" fontId="29" fillId="13" borderId="9" xfId="10" applyFont="1" applyFill="1" applyBorder="1" applyAlignment="1" applyProtection="1">
      <alignment horizontal="center" vertical="center" wrapText="1"/>
    </xf>
    <xf numFmtId="164" fontId="29" fillId="12" borderId="0" xfId="10" applyFont="1" applyFill="1" applyAlignment="1" applyProtection="1">
      <alignment horizontal="center" vertical="center" wrapText="1"/>
    </xf>
    <xf numFmtId="164" fontId="29" fillId="15" borderId="1" xfId="10" applyFont="1" applyFill="1" applyBorder="1" applyAlignment="1" applyProtection="1">
      <alignment horizontal="center" vertical="center" wrapText="1"/>
    </xf>
    <xf numFmtId="164" fontId="28" fillId="12" borderId="0" xfId="10" applyFont="1" applyFill="1" applyAlignment="1" applyProtection="1">
      <alignment vertical="top" wrapText="1"/>
    </xf>
    <xf numFmtId="165" fontId="28" fillId="3" borderId="1" xfId="10" applyNumberFormat="1" applyFont="1" applyFill="1" applyBorder="1" applyAlignment="1" applyProtection="1">
      <alignment horizontal="center" vertical="center" wrapText="1"/>
    </xf>
    <xf numFmtId="166" fontId="28" fillId="14" borderId="1" xfId="10" applyNumberFormat="1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horizontal="center" vertical="center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2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4" fillId="5" borderId="1" xfId="10" applyFont="1" applyFill="1" applyBorder="1" applyAlignment="1" applyProtection="1">
      <alignment horizontal="right" vertical="center" wrapText="1"/>
    </xf>
    <xf numFmtId="165" fontId="31" fillId="5" borderId="1" xfId="10" applyNumberFormat="1" applyFont="1" applyFill="1" applyBorder="1" applyAlignment="1" applyProtection="1">
      <alignment horizontal="center" vertical="center"/>
    </xf>
    <xf numFmtId="164" fontId="33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27" fillId="6" borderId="1" xfId="10" applyFont="1" applyFill="1" applyBorder="1" applyProtection="1"/>
    <xf numFmtId="164" fontId="33" fillId="6" borderId="1" xfId="10" applyFont="1" applyFill="1" applyBorder="1" applyAlignment="1" applyProtection="1">
      <alignment horizontal="left"/>
    </xf>
    <xf numFmtId="165" fontId="27" fillId="6" borderId="1" xfId="10" applyNumberFormat="1" applyFont="1" applyFill="1" applyBorder="1" applyAlignment="1" applyProtection="1">
      <alignment horizontal="center"/>
    </xf>
    <xf numFmtId="165" fontId="22" fillId="6" borderId="1" xfId="10" applyNumberFormat="1" applyFont="1" applyFill="1" applyBorder="1" applyAlignment="1" applyProtection="1">
      <alignment horizontal="center"/>
    </xf>
    <xf numFmtId="167" fontId="22" fillId="3" borderId="1" xfId="11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Protection="1"/>
    <xf numFmtId="165" fontId="19" fillId="0" borderId="1" xfId="10" applyNumberFormat="1" applyFont="1" applyBorder="1" applyAlignment="1" applyProtection="1">
      <alignment horizontal="center" vertical="center"/>
    </xf>
    <xf numFmtId="164" fontId="20" fillId="10" borderId="1" xfId="10" applyFont="1" applyFill="1" applyBorder="1" applyProtection="1"/>
    <xf numFmtId="164" fontId="20" fillId="10" borderId="1" xfId="10" applyFont="1" applyFill="1" applyBorder="1" applyAlignment="1" applyProtection="1">
      <alignment horizontal="center"/>
    </xf>
    <xf numFmtId="165" fontId="33" fillId="6" borderId="1" xfId="10" applyNumberFormat="1" applyFont="1" applyFill="1" applyBorder="1" applyAlignment="1" applyProtection="1">
      <alignment horizontal="center"/>
    </xf>
    <xf numFmtId="164" fontId="27" fillId="16" borderId="1" xfId="10" applyFont="1" applyFill="1" applyBorder="1" applyProtection="1"/>
    <xf numFmtId="165" fontId="27" fillId="16" borderId="1" xfId="10" applyNumberFormat="1" applyFont="1" applyFill="1" applyBorder="1" applyAlignment="1" applyProtection="1">
      <alignment horizontal="center"/>
    </xf>
    <xf numFmtId="167" fontId="27" fillId="16" borderId="1" xfId="11" applyFont="1" applyFill="1" applyBorder="1" applyAlignment="1" applyProtection="1">
      <alignment horizontal="center"/>
    </xf>
    <xf numFmtId="165" fontId="20" fillId="10" borderId="1" xfId="10" applyNumberFormat="1" applyFont="1" applyFill="1" applyBorder="1" applyAlignment="1" applyProtection="1">
      <alignment horizontal="center"/>
    </xf>
    <xf numFmtId="165" fontId="24" fillId="12" borderId="1" xfId="10" applyNumberFormat="1" applyFont="1" applyFill="1" applyBorder="1" applyAlignment="1" applyProtection="1">
      <alignment horizontal="center"/>
    </xf>
    <xf numFmtId="167" fontId="36" fillId="6" borderId="1" xfId="11" applyFont="1" applyFill="1" applyBorder="1" applyAlignment="1" applyProtection="1">
      <alignment horizontal="center"/>
    </xf>
    <xf numFmtId="165" fontId="24" fillId="0" borderId="1" xfId="10" applyNumberFormat="1" applyFont="1" applyBorder="1" applyAlignment="1" applyProtection="1">
      <alignment horizontal="center" vertical="center"/>
    </xf>
    <xf numFmtId="168" fontId="27" fillId="3" borderId="1" xfId="9" applyFont="1" applyFill="1" applyBorder="1" applyAlignment="1" applyProtection="1">
      <alignment horizontal="center"/>
      <protection locked="0"/>
    </xf>
    <xf numFmtId="168" fontId="19" fillId="6" borderId="1" xfId="10" applyNumberFormat="1" applyFont="1" applyFill="1" applyBorder="1" applyProtection="1"/>
    <xf numFmtId="164" fontId="37" fillId="3" borderId="1" xfId="16" applyNumberFormat="1" applyFill="1" applyBorder="1" applyProtection="1">
      <protection locked="0"/>
    </xf>
    <xf numFmtId="164" fontId="38" fillId="9" borderId="1" xfId="10" applyFont="1" applyFill="1" applyBorder="1" applyAlignment="1" applyProtection="1">
      <alignment horizontal="left"/>
      <protection locked="0"/>
    </xf>
    <xf numFmtId="170" fontId="39" fillId="9" borderId="1" xfId="8" applyNumberFormat="1" applyFont="1" applyFill="1" applyBorder="1" applyAlignment="1" applyProtection="1">
      <alignment horizontal="center" vertical="center"/>
      <protection locked="0"/>
    </xf>
    <xf numFmtId="164" fontId="22" fillId="6" borderId="1" xfId="10" applyFont="1" applyFill="1" applyBorder="1" applyAlignment="1" applyProtection="1">
      <alignment horizontal="center" vertical="center"/>
      <protection locked="0"/>
    </xf>
    <xf numFmtId="164" fontId="39" fillId="3" borderId="1" xfId="10" applyFont="1" applyFill="1" applyBorder="1" applyAlignment="1" applyProtection="1">
      <alignment horizontal="left" vertical="center" wrapText="1"/>
      <protection locked="0"/>
    </xf>
    <xf numFmtId="169" fontId="39" fillId="9" borderId="1" xfId="10" applyNumberFormat="1" applyFont="1" applyFill="1" applyBorder="1" applyAlignment="1" applyProtection="1">
      <alignment horizontal="center" vertical="center"/>
      <protection locked="0"/>
    </xf>
    <xf numFmtId="164" fontId="40" fillId="3" borderId="1" xfId="10" applyFont="1" applyFill="1" applyBorder="1" applyAlignment="1" applyProtection="1">
      <alignment vertical="center"/>
      <protection locked="0"/>
    </xf>
    <xf numFmtId="164" fontId="39" fillId="3" borderId="1" xfId="10" applyFont="1" applyFill="1" applyBorder="1" applyAlignment="1" applyProtection="1">
      <alignment horizontal="center" vertical="center"/>
      <protection locked="0"/>
    </xf>
    <xf numFmtId="170" fontId="39" fillId="11" borderId="1" xfId="8" applyNumberFormat="1" applyFont="1" applyFill="1" applyBorder="1" applyAlignment="1" applyProtection="1">
      <alignment horizontal="center" vertical="center"/>
      <protection locked="0"/>
    </xf>
    <xf numFmtId="171" fontId="39" fillId="9" borderId="1" xfId="8" applyNumberFormat="1" applyFont="1" applyFill="1" applyBorder="1" applyAlignment="1" applyProtection="1">
      <alignment horizontal="center" vertical="center"/>
      <protection locked="0"/>
    </xf>
    <xf numFmtId="171" fontId="39" fillId="11" borderId="1" xfId="8" applyNumberFormat="1" applyFont="1" applyFill="1" applyBorder="1" applyAlignment="1" applyProtection="1">
      <alignment horizontal="center" vertical="center"/>
      <protection locked="0"/>
    </xf>
    <xf numFmtId="164" fontId="39" fillId="0" borderId="8" xfId="10" applyFont="1" applyBorder="1" applyProtection="1"/>
    <xf numFmtId="164" fontId="42" fillId="0" borderId="8" xfId="10" applyFont="1" applyBorder="1" applyAlignment="1" applyProtection="1">
      <alignment horizontal="left"/>
    </xf>
    <xf numFmtId="170" fontId="39" fillId="0" borderId="8" xfId="10" applyNumberFormat="1" applyFont="1" applyBorder="1" applyProtection="1"/>
    <xf numFmtId="164" fontId="39" fillId="0" borderId="0" xfId="10" applyFont="1" applyProtection="1"/>
    <xf numFmtId="170" fontId="39" fillId="0" borderId="8" xfId="10" applyNumberFormat="1" applyFont="1" applyBorder="1" applyAlignment="1" applyProtection="1">
      <alignment horizontal="center" vertical="center"/>
    </xf>
    <xf numFmtId="164" fontId="25" fillId="5" borderId="3" xfId="10" applyFont="1" applyFill="1" applyBorder="1" applyAlignment="1" applyProtection="1">
      <alignment horizontal="center"/>
    </xf>
    <xf numFmtId="164" fontId="20" fillId="5" borderId="1" xfId="10" applyFont="1" applyFill="1" applyBorder="1" applyAlignment="1" applyProtection="1">
      <alignment horizontal="left"/>
    </xf>
    <xf numFmtId="165" fontId="26" fillId="10" borderId="1" xfId="10" applyNumberFormat="1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20" fillId="5" borderId="1" xfId="10" applyFont="1" applyFill="1" applyBorder="1" applyAlignment="1" applyProtection="1">
      <alignment horizontal="center"/>
    </xf>
    <xf numFmtId="164" fontId="20" fillId="5" borderId="7" xfId="10" applyFont="1" applyFill="1" applyBorder="1" applyAlignment="1" applyProtection="1">
      <alignment horizontal="center"/>
    </xf>
    <xf numFmtId="164" fontId="28" fillId="12" borderId="1" xfId="10" applyFont="1" applyFill="1" applyBorder="1" applyAlignment="1" applyProtection="1">
      <alignment horizontal="center" wrapText="1"/>
    </xf>
    <xf numFmtId="164" fontId="29" fillId="13" borderId="1" xfId="10" applyFont="1" applyFill="1" applyBorder="1" applyAlignment="1" applyProtection="1">
      <alignment horizontal="center" wrapText="1"/>
    </xf>
    <xf numFmtId="164" fontId="29" fillId="10" borderId="1" xfId="10" applyFont="1" applyFill="1" applyBorder="1" applyAlignment="1" applyProtection="1">
      <alignment horizontal="center" wrapText="1"/>
    </xf>
    <xf numFmtId="164" fontId="28" fillId="3" borderId="1" xfId="10" applyFont="1" applyFill="1" applyBorder="1" applyAlignment="1" applyProtection="1">
      <alignment horizontal="center" wrapText="1"/>
    </xf>
    <xf numFmtId="164" fontId="28" fillId="14" borderId="1" xfId="10" applyFont="1" applyFill="1" applyBorder="1" applyAlignment="1" applyProtection="1">
      <alignment horizontal="center" wrapText="1"/>
    </xf>
    <xf numFmtId="164" fontId="30" fillId="5" borderId="3" xfId="10" applyFont="1" applyFill="1" applyBorder="1" applyAlignment="1" applyProtection="1">
      <alignment horizontal="center"/>
    </xf>
    <xf numFmtId="164" fontId="29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29" fillId="15" borderId="1" xfId="10" applyFont="1" applyFill="1" applyBorder="1" applyAlignment="1" applyProtection="1">
      <alignment horizontal="center" vertical="center" wrapText="1"/>
    </xf>
    <xf numFmtId="164" fontId="29" fillId="15" borderId="4" xfId="10" applyFont="1" applyFill="1" applyBorder="1" applyAlignment="1" applyProtection="1">
      <alignment horizontal="center" vertical="center" wrapText="1"/>
    </xf>
    <xf numFmtId="164" fontId="28" fillId="14" borderId="4" xfId="10" applyFont="1" applyFill="1" applyBorder="1" applyAlignment="1" applyProtection="1">
      <alignment horizontal="center" vertical="center" wrapText="1"/>
    </xf>
    <xf numFmtId="164" fontId="28" fillId="14" borderId="9" xfId="10" applyFont="1" applyFill="1" applyBorder="1" applyAlignment="1" applyProtection="1">
      <alignment horizontal="center" vertical="center" wrapText="1"/>
    </xf>
    <xf numFmtId="0" fontId="28" fillId="14" borderId="1" xfId="0" applyFont="1" applyFill="1" applyBorder="1" applyAlignment="1">
      <alignment horizontal="center" vertical="center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1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27" fillId="6" borderId="1" xfId="10" applyFont="1" applyFill="1" applyBorder="1" applyAlignment="1" applyProtection="1">
      <alignment horizontal="center"/>
    </xf>
    <xf numFmtId="164" fontId="35" fillId="5" borderId="7" xfId="10" applyFont="1" applyFill="1" applyBorder="1" applyAlignment="1" applyProtection="1">
      <alignment horizontal="center"/>
    </xf>
    <xf numFmtId="164" fontId="27" fillId="6" borderId="1" xfId="10" applyFont="1" applyFill="1" applyBorder="1" applyAlignment="1" applyProtection="1">
      <alignment horizontal="center" vertical="center"/>
    </xf>
  </cellXfs>
  <cellStyles count="17">
    <cellStyle name="cf1" xfId="1" xr:uid="{2DC75580-7322-4F49-9CB7-8EEEECF7EC6C}"/>
    <cellStyle name="cf2" xfId="2" xr:uid="{57AFA03D-1B15-4756-970F-4CD2274DEF9B}"/>
    <cellStyle name="cf3" xfId="3" xr:uid="{CB67E9D6-C68D-4E6C-B3B1-5268E5A06A62}"/>
    <cellStyle name="cf4" xfId="4" xr:uid="{A99C5C2C-19FC-4A13-8EE5-B1D69AE7BEBA}"/>
    <cellStyle name="cf5" xfId="5" xr:uid="{C8F86F15-636D-451B-8796-17E512125CE6}"/>
    <cellStyle name="cf6" xfId="6" xr:uid="{D44DB600-7469-45B6-B912-E94C371777C6}"/>
    <cellStyle name="ConditionalStyle_1" xfId="7" xr:uid="{F3E6E7E0-6D15-4B09-A5D9-A38D10941224}"/>
    <cellStyle name="Excel Built-in Comma" xfId="8" xr:uid="{99B500CA-524C-4CC4-8DFA-D94EC9474D3C}"/>
    <cellStyle name="Excel Built-in Currency" xfId="9" xr:uid="{7A823C8A-5DA9-4E0D-A735-BA5B77F936FE}"/>
    <cellStyle name="Excel Built-in Normal" xfId="10" xr:uid="{17C31421-5173-463C-BB24-8CC28C118C25}"/>
    <cellStyle name="Excel Built-in Percent" xfId="11" xr:uid="{4040371F-9091-45B3-B078-51EE82C6A68D}"/>
    <cellStyle name="Heading" xfId="12" xr:uid="{BF1FD204-9274-4ABB-BD09-1D19A811DDA3}"/>
    <cellStyle name="Heading1" xfId="13" xr:uid="{9FF16774-1A1B-41AF-AF7C-E4DDED4BF2DC}"/>
    <cellStyle name="Hyperlink" xfId="16" builtinId="8"/>
    <cellStyle name="Normal" xfId="0" builtinId="0" customBuiltin="1"/>
    <cellStyle name="Result" xfId="14" xr:uid="{6F03FC13-A797-4115-B488-D5132E8D2E66}"/>
    <cellStyle name="Result2" xfId="15" xr:uid="{8B643F58-BFEA-4FDF-8CA6-D5886F8338D7}"/>
  </cellStyles>
  <dxfs count="8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FFFF"/>
        <family val="2"/>
      </font>
    </dxf>
    <dxf>
      <font>
        <b/>
        <family val="2"/>
      </font>
    </dxf>
    <dxf>
      <font>
        <color rgb="FF666699"/>
        <family val="2"/>
      </font>
    </dxf>
    <dxf>
      <font>
        <b/>
        <family val="2"/>
      </font>
    </dxf>
    <dxf>
      <font>
        <color rgb="FF666699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18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lliac.vitoria@aluno.ifsp.edu.br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melo.nascimento@aluno.ifsp.edu.br" TargetMode="External"/><Relationship Id="rId1" Type="http://schemas.openxmlformats.org/officeDocument/2006/relationships/hyperlink" Target="mailto:barros.fabio@aluno.ifsp.edu.br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m.alisson@aluno.ifsp.edu.br" TargetMode="External"/><Relationship Id="rId4" Type="http://schemas.openxmlformats.org/officeDocument/2006/relationships/hyperlink" Target="mailto:camilly.sampaio@aluno.ifsp.edu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491-4C31-4A24-BC3E-B9501FBB562C}">
  <dimension ref="A1:AMJ17"/>
  <sheetViews>
    <sheetView workbookViewId="0">
      <selection activeCell="B16" sqref="B16"/>
    </sheetView>
  </sheetViews>
  <sheetFormatPr defaultRowHeight="14.4" x14ac:dyDescent="0.3"/>
  <cols>
    <col min="1" max="1" width="21.59765625" style="1" customWidth="1"/>
    <col min="2" max="2" width="44.69921875" style="1" customWidth="1"/>
    <col min="3" max="3" width="29.5" style="1" customWidth="1"/>
    <col min="4" max="1024" width="8.09765625" style="1" customWidth="1"/>
    <col min="1025" max="1025" width="9" customWidth="1"/>
  </cols>
  <sheetData>
    <row r="1" spans="1:1024" ht="20.399999999999999" x14ac:dyDescent="0.3">
      <c r="A1" s="124" t="s">
        <v>0</v>
      </c>
      <c r="B1" s="124"/>
      <c r="C1" s="124"/>
    </row>
    <row r="2" spans="1:1024" ht="24.6" x14ac:dyDescent="0.3">
      <c r="A2" s="125" t="s">
        <v>217</v>
      </c>
      <c r="B2" s="125"/>
      <c r="C2" s="125"/>
    </row>
    <row r="3" spans="1:1024" ht="15" x14ac:dyDescent="0.3">
      <c r="A3" s="2" t="s">
        <v>1</v>
      </c>
      <c r="B3" s="2" t="s">
        <v>2</v>
      </c>
      <c r="C3" s="2" t="s">
        <v>3</v>
      </c>
    </row>
    <row r="4" spans="1:1024" x14ac:dyDescent="0.3">
      <c r="A4" s="3" t="s">
        <v>4</v>
      </c>
      <c r="B4" s="3" t="s">
        <v>218</v>
      </c>
      <c r="C4" s="104" t="s">
        <v>223</v>
      </c>
    </row>
    <row r="5" spans="1:1024" x14ac:dyDescent="0.3">
      <c r="A5" s="3" t="s">
        <v>5</v>
      </c>
      <c r="B5" s="3" t="s">
        <v>219</v>
      </c>
      <c r="C5" s="104" t="s">
        <v>224</v>
      </c>
    </row>
    <row r="6" spans="1:1024" x14ac:dyDescent="0.3">
      <c r="A6" s="3" t="s">
        <v>6</v>
      </c>
      <c r="B6" s="3" t="s">
        <v>220</v>
      </c>
      <c r="C6" s="104" t="s">
        <v>225</v>
      </c>
    </row>
    <row r="7" spans="1:1024" x14ac:dyDescent="0.3">
      <c r="A7" s="3" t="s">
        <v>6</v>
      </c>
      <c r="B7" s="3" t="s">
        <v>221</v>
      </c>
      <c r="C7" s="104" t="s">
        <v>226</v>
      </c>
    </row>
    <row r="8" spans="1:1024" x14ac:dyDescent="0.3">
      <c r="A8" s="3" t="s">
        <v>6</v>
      </c>
      <c r="B8" s="3" t="s">
        <v>222</v>
      </c>
      <c r="C8" s="104" t="s">
        <v>227</v>
      </c>
    </row>
    <row r="9" spans="1:1024" x14ac:dyDescent="0.3">
      <c r="AMH9"/>
      <c r="AMI9"/>
      <c r="AMJ9"/>
    </row>
    <row r="10" spans="1:1024" x14ac:dyDescent="0.3">
      <c r="AMH10"/>
      <c r="AMI10"/>
      <c r="AMJ10"/>
    </row>
    <row r="11" spans="1:1024" x14ac:dyDescent="0.3">
      <c r="AMH11"/>
      <c r="AMI11"/>
      <c r="AMJ11"/>
    </row>
    <row r="12" spans="1:1024" x14ac:dyDescent="0.3">
      <c r="AMH12"/>
      <c r="AMI12"/>
      <c r="AMJ12"/>
    </row>
    <row r="13" spans="1:1024" x14ac:dyDescent="0.3">
      <c r="AMH13"/>
      <c r="AMI13"/>
      <c r="AMJ13"/>
    </row>
    <row r="14" spans="1:1024" x14ac:dyDescent="0.3">
      <c r="AMH14"/>
      <c r="AMI14"/>
      <c r="AMJ14"/>
    </row>
    <row r="15" spans="1:1024" x14ac:dyDescent="0.3">
      <c r="AMH15"/>
      <c r="AMI15"/>
      <c r="AMJ15"/>
    </row>
    <row r="16" spans="1:1024" x14ac:dyDescent="0.3">
      <c r="AMH16"/>
      <c r="AMI16"/>
      <c r="AMJ16"/>
    </row>
    <row r="17" spans="1022:1024" x14ac:dyDescent="0.3">
      <c r="AMH17"/>
      <c r="AMI17"/>
      <c r="AMJ17"/>
    </row>
  </sheetData>
  <mergeCells count="2">
    <mergeCell ref="A1:C1"/>
    <mergeCell ref="A2:C2"/>
  </mergeCells>
  <hyperlinks>
    <hyperlink ref="C4" r:id="rId1" xr:uid="{E1E652B4-DDA3-4DB8-9AF8-D53FE5E99C84}"/>
    <hyperlink ref="C5" r:id="rId2" xr:uid="{39ADEDC7-E64D-4C13-B74B-EFC55B5C8484}"/>
    <hyperlink ref="C6" r:id="rId3" xr:uid="{8232F547-8429-4689-B602-EC2CDB7B3CB1}"/>
    <hyperlink ref="C7" r:id="rId4" xr:uid="{A61F42B8-FEE8-409C-876E-EECD7B45D95B}"/>
    <hyperlink ref="C8" r:id="rId5" xr:uid="{3EA0CE9C-F2CC-40D2-9CAC-526903DE3809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42-BF97-4AFF-B370-04CC3D024494}">
  <dimension ref="A1:AMJ50"/>
  <sheetViews>
    <sheetView zoomScale="115" zoomScaleNormal="115" workbookViewId="0">
      <selection activeCell="G13" sqref="G13"/>
    </sheetView>
  </sheetViews>
  <sheetFormatPr defaultRowHeight="14.4" x14ac:dyDescent="0.25"/>
  <cols>
    <col min="1" max="1" width="10.19921875" style="20" customWidth="1"/>
    <col min="2" max="2" width="11.59765625" style="4" customWidth="1"/>
    <col min="3" max="3" width="64.19921875" style="4" customWidth="1"/>
    <col min="4" max="4" width="8.69921875" style="18" customWidth="1"/>
    <col min="5" max="5" width="1.59765625" style="4" customWidth="1"/>
    <col min="6" max="6" width="4.19921875" style="4" customWidth="1"/>
    <col min="7" max="7" width="24.796875" style="4" bestFit="1" customWidth="1"/>
    <col min="8" max="9" width="8.5" style="4" customWidth="1"/>
    <col min="10" max="10" width="10.69921875" style="4" customWidth="1"/>
    <col min="11" max="11" width="11.8984375" style="4" customWidth="1"/>
    <col min="12" max="1024" width="8.5" style="4" customWidth="1"/>
    <col min="1025" max="1025" width="9" customWidth="1"/>
  </cols>
  <sheetData>
    <row r="1" spans="1:1024" ht="12" customHeight="1" x14ac:dyDescent="0.25">
      <c r="A1" s="132" t="s">
        <v>7</v>
      </c>
      <c r="B1" s="132"/>
      <c r="C1" s="132"/>
      <c r="D1" s="132"/>
      <c r="F1" s="126" t="s">
        <v>8</v>
      </c>
      <c r="G1" s="126"/>
      <c r="H1" s="126"/>
      <c r="I1" s="126"/>
      <c r="J1" s="126"/>
      <c r="K1" s="126"/>
      <c r="L1" s="126"/>
    </row>
    <row r="2" spans="1:1024" ht="42" customHeight="1" x14ac:dyDescent="0.25">
      <c r="A2" s="127" t="s">
        <v>9</v>
      </c>
      <c r="B2" s="127"/>
      <c r="C2" s="127"/>
      <c r="D2" s="127"/>
      <c r="F2" s="128" t="s">
        <v>10</v>
      </c>
      <c r="G2" s="128"/>
      <c r="H2" s="128"/>
      <c r="I2" s="128"/>
      <c r="J2" s="128"/>
      <c r="K2" s="128"/>
      <c r="L2" s="128"/>
    </row>
    <row r="3" spans="1:1024" ht="24" customHeight="1" x14ac:dyDescent="0.25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29" t="s">
        <v>8</v>
      </c>
      <c r="I3" s="129"/>
      <c r="J3" s="129"/>
      <c r="K3" s="129"/>
      <c r="L3" s="129"/>
    </row>
    <row r="4" spans="1:1024" ht="24" customHeight="1" x14ac:dyDescent="0.25">
      <c r="A4" s="130" t="s">
        <v>16</v>
      </c>
      <c r="B4" s="130"/>
      <c r="C4" s="130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024" ht="13.8" x14ac:dyDescent="0.25">
      <c r="A5" s="10">
        <v>1</v>
      </c>
      <c r="B5" s="11" t="s">
        <v>16</v>
      </c>
      <c r="C5" s="12" t="s">
        <v>25</v>
      </c>
      <c r="D5" s="13">
        <v>6</v>
      </c>
      <c r="F5" s="14">
        <v>1</v>
      </c>
      <c r="G5" s="12" t="s">
        <v>237</v>
      </c>
      <c r="H5" s="15">
        <v>8</v>
      </c>
      <c r="I5" s="15">
        <v>5</v>
      </c>
      <c r="J5" s="15">
        <v>0</v>
      </c>
      <c r="K5" s="15">
        <v>3</v>
      </c>
      <c r="L5" s="16">
        <f>SUM(H5:K5)</f>
        <v>16</v>
      </c>
    </row>
    <row r="6" spans="1:1024" ht="13.8" x14ac:dyDescent="0.25">
      <c r="A6" s="10">
        <v>2</v>
      </c>
      <c r="B6" s="11" t="s">
        <v>16</v>
      </c>
      <c r="C6" s="12" t="s">
        <v>26</v>
      </c>
      <c r="D6" s="13">
        <v>2</v>
      </c>
      <c r="F6" s="14">
        <v>2</v>
      </c>
      <c r="G6" s="12" t="s">
        <v>238</v>
      </c>
      <c r="H6" s="15">
        <v>7</v>
      </c>
      <c r="I6" s="15">
        <v>2</v>
      </c>
      <c r="J6" s="15">
        <v>3</v>
      </c>
      <c r="K6" s="15">
        <v>3</v>
      </c>
      <c r="L6" s="16">
        <f>SUM(H6:K6)</f>
        <v>15</v>
      </c>
    </row>
    <row r="7" spans="1:1024" ht="13.8" x14ac:dyDescent="0.25">
      <c r="A7" s="10">
        <v>3</v>
      </c>
      <c r="B7" s="11" t="s">
        <v>16</v>
      </c>
      <c r="C7" s="12" t="s">
        <v>27</v>
      </c>
      <c r="D7" s="13">
        <v>15</v>
      </c>
      <c r="F7" s="14">
        <v>3</v>
      </c>
      <c r="G7" s="12" t="s">
        <v>239</v>
      </c>
      <c r="H7" s="15">
        <v>3</v>
      </c>
      <c r="I7" s="15">
        <v>1</v>
      </c>
      <c r="J7" s="15">
        <v>4</v>
      </c>
      <c r="K7" s="15">
        <v>2</v>
      </c>
      <c r="L7" s="16">
        <f>SUM(H7:K7)</f>
        <v>10</v>
      </c>
    </row>
    <row r="8" spans="1:1024" ht="13.8" x14ac:dyDescent="0.25">
      <c r="A8" s="10">
        <v>4</v>
      </c>
      <c r="B8" s="11" t="s">
        <v>16</v>
      </c>
      <c r="C8" s="12" t="s">
        <v>28</v>
      </c>
      <c r="D8" s="13">
        <v>15</v>
      </c>
      <c r="F8" s="14">
        <v>4</v>
      </c>
      <c r="G8" s="12" t="s">
        <v>240</v>
      </c>
      <c r="H8" s="15">
        <v>5</v>
      </c>
      <c r="I8" s="15">
        <v>0</v>
      </c>
      <c r="J8" s="15">
        <v>2</v>
      </c>
      <c r="K8" s="15">
        <v>5</v>
      </c>
      <c r="L8" s="16">
        <f t="shared" ref="L8:L12" si="0">SUM(H8:K8)</f>
        <v>12</v>
      </c>
    </row>
    <row r="9" spans="1:1024" ht="13.8" x14ac:dyDescent="0.25">
      <c r="A9" s="10">
        <v>5</v>
      </c>
      <c r="B9" s="11" t="s">
        <v>16</v>
      </c>
      <c r="C9" s="12" t="s">
        <v>37</v>
      </c>
      <c r="D9" s="13">
        <v>5</v>
      </c>
      <c r="F9" s="14">
        <v>5</v>
      </c>
      <c r="G9" s="12" t="s">
        <v>241</v>
      </c>
      <c r="H9" s="15">
        <v>10</v>
      </c>
      <c r="I9" s="15">
        <v>6</v>
      </c>
      <c r="J9" s="15">
        <v>2</v>
      </c>
      <c r="K9" s="15">
        <v>8</v>
      </c>
      <c r="L9" s="16">
        <f t="shared" si="0"/>
        <v>26</v>
      </c>
    </row>
    <row r="10" spans="1:1024" ht="13.8" x14ac:dyDescent="0.25">
      <c r="A10" s="10">
        <v>6</v>
      </c>
      <c r="B10" s="11" t="s">
        <v>16</v>
      </c>
      <c r="C10" s="12" t="s">
        <v>29</v>
      </c>
      <c r="D10" s="13">
        <v>5</v>
      </c>
      <c r="F10" s="14">
        <v>6</v>
      </c>
      <c r="G10" s="12" t="s">
        <v>242</v>
      </c>
      <c r="H10" s="15">
        <v>8</v>
      </c>
      <c r="I10" s="15">
        <v>4</v>
      </c>
      <c r="J10" s="15">
        <v>2</v>
      </c>
      <c r="K10" s="15">
        <v>5</v>
      </c>
      <c r="L10" s="16">
        <f t="shared" si="0"/>
        <v>19</v>
      </c>
    </row>
    <row r="11" spans="1:1024" ht="15" customHeight="1" x14ac:dyDescent="0.25">
      <c r="A11" s="130" t="s">
        <v>30</v>
      </c>
      <c r="B11" s="130"/>
      <c r="C11" s="130"/>
      <c r="D11" s="8">
        <f>SUM(D5:D10)</f>
        <v>48</v>
      </c>
      <c r="F11" s="14">
        <v>7</v>
      </c>
      <c r="G11" s="12" t="s">
        <v>243</v>
      </c>
      <c r="H11" s="15">
        <v>3</v>
      </c>
      <c r="I11" s="15">
        <v>0</v>
      </c>
      <c r="J11" s="15">
        <v>1</v>
      </c>
      <c r="K11" s="15">
        <v>2</v>
      </c>
      <c r="L11" s="16">
        <f t="shared" si="0"/>
        <v>6</v>
      </c>
    </row>
    <row r="12" spans="1:1024" ht="13.8" x14ac:dyDescent="0.25">
      <c r="A12" s="10">
        <v>7</v>
      </c>
      <c r="B12" s="11" t="s">
        <v>30</v>
      </c>
      <c r="C12" s="12" t="s">
        <v>31</v>
      </c>
      <c r="D12" s="13">
        <v>5</v>
      </c>
      <c r="F12" s="14">
        <v>8</v>
      </c>
      <c r="G12" s="12" t="s">
        <v>244</v>
      </c>
      <c r="H12" s="15">
        <v>2</v>
      </c>
      <c r="I12" s="15">
        <v>0</v>
      </c>
      <c r="J12" s="15">
        <v>0</v>
      </c>
      <c r="K12" s="15">
        <v>2</v>
      </c>
      <c r="L12" s="16">
        <f t="shared" si="0"/>
        <v>4</v>
      </c>
    </row>
    <row r="13" spans="1:1024" ht="13.8" x14ac:dyDescent="0.25">
      <c r="A13" s="10">
        <v>8</v>
      </c>
      <c r="B13" s="11" t="s">
        <v>30</v>
      </c>
      <c r="C13" s="12" t="s">
        <v>32</v>
      </c>
      <c r="D13" s="13">
        <v>10</v>
      </c>
      <c r="AMD13"/>
      <c r="AME13"/>
      <c r="AMF13"/>
      <c r="AMG13"/>
      <c r="AMH13"/>
      <c r="AMI13"/>
      <c r="AMJ13"/>
    </row>
    <row r="14" spans="1:1024" ht="13.8" x14ac:dyDescent="0.25">
      <c r="A14" s="10">
        <v>9</v>
      </c>
      <c r="B14" s="11" t="s">
        <v>30</v>
      </c>
      <c r="C14" s="17" t="s">
        <v>33</v>
      </c>
      <c r="D14" s="13">
        <v>3</v>
      </c>
      <c r="AMD14"/>
      <c r="AME14"/>
      <c r="AMF14"/>
      <c r="AMG14"/>
      <c r="AMH14"/>
      <c r="AMI14"/>
      <c r="AMJ14"/>
    </row>
    <row r="15" spans="1:1024" ht="13.8" x14ac:dyDescent="0.25">
      <c r="A15" s="10">
        <v>10</v>
      </c>
      <c r="B15" s="11" t="s">
        <v>30</v>
      </c>
      <c r="C15" s="105" t="s">
        <v>266</v>
      </c>
      <c r="D15" s="13">
        <v>7</v>
      </c>
      <c r="AMD15"/>
      <c r="AME15"/>
      <c r="AMF15"/>
      <c r="AMG15"/>
      <c r="AMH15"/>
      <c r="AMI15"/>
      <c r="AMJ15"/>
    </row>
    <row r="16" spans="1:1024" ht="13.8" x14ac:dyDescent="0.25">
      <c r="A16" s="10">
        <v>11</v>
      </c>
      <c r="B16" s="11" t="s">
        <v>30</v>
      </c>
      <c r="C16" s="105" t="s">
        <v>34</v>
      </c>
      <c r="D16" s="13">
        <v>15</v>
      </c>
      <c r="AMD16"/>
      <c r="AME16"/>
      <c r="AMF16"/>
      <c r="AMG16"/>
      <c r="AMH16"/>
      <c r="AMI16"/>
      <c r="AMJ16"/>
    </row>
    <row r="17" spans="1:1024" ht="13.8" x14ac:dyDescent="0.25">
      <c r="A17" s="10">
        <v>12</v>
      </c>
      <c r="B17" s="11" t="s">
        <v>30</v>
      </c>
      <c r="C17" s="17" t="s">
        <v>35</v>
      </c>
      <c r="D17" s="13">
        <v>5</v>
      </c>
      <c r="AMD17"/>
      <c r="AME17"/>
      <c r="AMF17"/>
      <c r="AMG17"/>
      <c r="AMH17"/>
      <c r="AMI17"/>
      <c r="AMJ17"/>
    </row>
    <row r="18" spans="1:1024" ht="13.8" x14ac:dyDescent="0.25">
      <c r="A18" s="10">
        <v>13</v>
      </c>
      <c r="B18" s="11" t="s">
        <v>30</v>
      </c>
      <c r="C18" s="17" t="s">
        <v>36</v>
      </c>
      <c r="D18" s="13">
        <v>10</v>
      </c>
      <c r="AMD18"/>
      <c r="AME18"/>
      <c r="AMF18"/>
      <c r="AMG18"/>
      <c r="AMH18"/>
      <c r="AMI18"/>
      <c r="AMJ18"/>
    </row>
    <row r="19" spans="1:1024" x14ac:dyDescent="0.25">
      <c r="A19" s="10">
        <v>14</v>
      </c>
      <c r="B19" s="11" t="s">
        <v>30</v>
      </c>
      <c r="C19" s="17" t="s">
        <v>37</v>
      </c>
      <c r="D19" s="13">
        <v>5</v>
      </c>
      <c r="H19" s="18"/>
      <c r="I19" s="18"/>
      <c r="J19" s="18"/>
      <c r="K19" s="18"/>
      <c r="L19" s="18"/>
    </row>
    <row r="20" spans="1:1024" x14ac:dyDescent="0.25">
      <c r="A20" s="10">
        <v>15</v>
      </c>
      <c r="B20" s="11" t="s">
        <v>30</v>
      </c>
      <c r="C20" s="17" t="s">
        <v>38</v>
      </c>
      <c r="D20" s="13">
        <v>5</v>
      </c>
      <c r="H20" s="18"/>
      <c r="I20" s="18"/>
      <c r="J20" s="18"/>
      <c r="K20" s="18"/>
      <c r="L20" s="18"/>
    </row>
    <row r="21" spans="1:1024" ht="15" customHeight="1" x14ac:dyDescent="0.25">
      <c r="A21" s="130" t="s">
        <v>39</v>
      </c>
      <c r="B21" s="130"/>
      <c r="C21" s="130"/>
      <c r="D21" s="8">
        <f>SUM(D12:D20)</f>
        <v>65</v>
      </c>
      <c r="H21" s="18"/>
      <c r="I21" s="18"/>
      <c r="J21" s="18"/>
      <c r="K21" s="18"/>
      <c r="L21" s="18"/>
    </row>
    <row r="22" spans="1:1024" x14ac:dyDescent="0.25">
      <c r="A22" s="10">
        <v>16</v>
      </c>
      <c r="B22" s="11" t="s">
        <v>39</v>
      </c>
      <c r="C22" s="12" t="s">
        <v>31</v>
      </c>
      <c r="D22" s="13">
        <v>5</v>
      </c>
      <c r="H22" s="18"/>
      <c r="I22" s="18"/>
      <c r="J22" s="18"/>
      <c r="K22" s="18"/>
      <c r="L22" s="18"/>
    </row>
    <row r="23" spans="1:1024" ht="13.8" x14ac:dyDescent="0.25">
      <c r="A23" s="10">
        <v>17</v>
      </c>
      <c r="B23" s="11" t="s">
        <v>39</v>
      </c>
      <c r="C23" s="105" t="s">
        <v>267</v>
      </c>
      <c r="D23" s="13">
        <v>5</v>
      </c>
    </row>
    <row r="24" spans="1:1024" ht="13.8" x14ac:dyDescent="0.25">
      <c r="A24" s="10">
        <v>18</v>
      </c>
      <c r="B24" s="11" t="s">
        <v>39</v>
      </c>
      <c r="C24" s="105" t="s">
        <v>268</v>
      </c>
      <c r="D24" s="13">
        <v>10</v>
      </c>
    </row>
    <row r="25" spans="1:1024" ht="13.8" x14ac:dyDescent="0.25">
      <c r="A25" s="10">
        <v>19</v>
      </c>
      <c r="B25" s="11" t="s">
        <v>39</v>
      </c>
      <c r="C25" s="105" t="s">
        <v>269</v>
      </c>
      <c r="D25" s="13">
        <v>5</v>
      </c>
    </row>
    <row r="26" spans="1:1024" ht="13.8" x14ac:dyDescent="0.25">
      <c r="A26" s="10">
        <v>20</v>
      </c>
      <c r="B26" s="11" t="s">
        <v>39</v>
      </c>
      <c r="C26" s="105" t="s">
        <v>228</v>
      </c>
      <c r="D26" s="13">
        <v>10</v>
      </c>
    </row>
    <row r="27" spans="1:1024" ht="13.8" x14ac:dyDescent="0.25">
      <c r="A27" s="10">
        <v>21</v>
      </c>
      <c r="B27" s="11" t="s">
        <v>39</v>
      </c>
      <c r="C27" s="105" t="s">
        <v>270</v>
      </c>
      <c r="D27" s="13">
        <v>5</v>
      </c>
    </row>
    <row r="28" spans="1:1024" ht="13.8" x14ac:dyDescent="0.25">
      <c r="A28" s="10">
        <v>22</v>
      </c>
      <c r="B28" s="11" t="s">
        <v>39</v>
      </c>
      <c r="C28" s="105" t="s">
        <v>229</v>
      </c>
      <c r="D28" s="13">
        <v>10</v>
      </c>
    </row>
    <row r="29" spans="1:1024" ht="13.8" x14ac:dyDescent="0.25">
      <c r="A29" s="10">
        <v>23</v>
      </c>
      <c r="B29" s="11" t="s">
        <v>39</v>
      </c>
      <c r="C29" s="105" t="s">
        <v>230</v>
      </c>
      <c r="D29" s="13">
        <v>5</v>
      </c>
    </row>
    <row r="30" spans="1:1024" ht="13.8" x14ac:dyDescent="0.25">
      <c r="A30" s="10">
        <v>24</v>
      </c>
      <c r="B30" s="11" t="s">
        <v>39</v>
      </c>
      <c r="C30" s="105" t="s">
        <v>271</v>
      </c>
      <c r="D30" s="13">
        <v>10</v>
      </c>
    </row>
    <row r="31" spans="1:1024" ht="13.8" x14ac:dyDescent="0.25">
      <c r="A31" s="10">
        <v>25</v>
      </c>
      <c r="B31" s="11" t="s">
        <v>39</v>
      </c>
      <c r="C31" s="105" t="s">
        <v>231</v>
      </c>
      <c r="D31" s="13">
        <v>5</v>
      </c>
    </row>
    <row r="32" spans="1:1024" ht="13.8" x14ac:dyDescent="0.25">
      <c r="A32" s="10">
        <v>26</v>
      </c>
      <c r="B32" s="11" t="s">
        <v>39</v>
      </c>
      <c r="C32" s="105" t="s">
        <v>232</v>
      </c>
      <c r="D32" s="13">
        <v>10</v>
      </c>
    </row>
    <row r="33" spans="1:4" ht="13.8" x14ac:dyDescent="0.25">
      <c r="A33" s="10">
        <v>27</v>
      </c>
      <c r="B33" s="11" t="s">
        <v>39</v>
      </c>
      <c r="C33" s="105" t="s">
        <v>233</v>
      </c>
      <c r="D33" s="13">
        <v>5</v>
      </c>
    </row>
    <row r="34" spans="1:4" ht="13.8" x14ac:dyDescent="0.25">
      <c r="A34" s="10">
        <v>28</v>
      </c>
      <c r="B34" s="11" t="s">
        <v>39</v>
      </c>
      <c r="C34" s="105" t="s">
        <v>234</v>
      </c>
      <c r="D34" s="13">
        <v>10</v>
      </c>
    </row>
    <row r="35" spans="1:4" ht="13.8" x14ac:dyDescent="0.25">
      <c r="A35" s="10">
        <v>29</v>
      </c>
      <c r="B35" s="11" t="s">
        <v>39</v>
      </c>
      <c r="C35" s="105" t="s">
        <v>235</v>
      </c>
      <c r="D35" s="13">
        <v>5</v>
      </c>
    </row>
    <row r="36" spans="1:4" ht="13.8" x14ac:dyDescent="0.25">
      <c r="A36" s="10">
        <v>30</v>
      </c>
      <c r="B36" s="11" t="s">
        <v>39</v>
      </c>
      <c r="C36" s="105" t="s">
        <v>236</v>
      </c>
      <c r="D36" s="13">
        <v>10</v>
      </c>
    </row>
    <row r="37" spans="1:4" ht="13.8" x14ac:dyDescent="0.25">
      <c r="A37" s="10">
        <v>31</v>
      </c>
      <c r="B37" s="11" t="s">
        <v>39</v>
      </c>
      <c r="C37" s="17" t="s">
        <v>37</v>
      </c>
      <c r="D37" s="13">
        <v>5</v>
      </c>
    </row>
    <row r="38" spans="1:4" ht="13.8" x14ac:dyDescent="0.25">
      <c r="A38" s="10">
        <v>32</v>
      </c>
      <c r="B38" s="11" t="s">
        <v>39</v>
      </c>
      <c r="C38" s="17" t="s">
        <v>38</v>
      </c>
      <c r="D38" s="13">
        <v>5</v>
      </c>
    </row>
    <row r="39" spans="1:4" ht="15" customHeight="1" x14ac:dyDescent="0.25">
      <c r="A39" s="130" t="s">
        <v>40</v>
      </c>
      <c r="B39" s="130"/>
      <c r="C39" s="130"/>
      <c r="D39" s="8">
        <f>SUM(D22:D38)</f>
        <v>120</v>
      </c>
    </row>
    <row r="40" spans="1:4" ht="13.8" x14ac:dyDescent="0.25">
      <c r="A40" s="10">
        <v>33</v>
      </c>
      <c r="B40" s="11" t="s">
        <v>40</v>
      </c>
      <c r="C40" s="12" t="s">
        <v>31</v>
      </c>
      <c r="D40" s="13">
        <v>5</v>
      </c>
    </row>
    <row r="41" spans="1:4" ht="13.8" x14ac:dyDescent="0.25">
      <c r="A41" s="10">
        <v>34</v>
      </c>
      <c r="B41" s="11" t="s">
        <v>40</v>
      </c>
      <c r="C41" s="17" t="s">
        <v>41</v>
      </c>
      <c r="D41" s="13">
        <v>10</v>
      </c>
    </row>
    <row r="42" spans="1:4" ht="13.8" x14ac:dyDescent="0.25">
      <c r="A42" s="10">
        <v>35</v>
      </c>
      <c r="B42" s="11" t="s">
        <v>40</v>
      </c>
      <c r="C42" s="17" t="s">
        <v>42</v>
      </c>
      <c r="D42" s="13">
        <v>5</v>
      </c>
    </row>
    <row r="43" spans="1:4" ht="13.8" x14ac:dyDescent="0.25">
      <c r="A43" s="10">
        <v>36</v>
      </c>
      <c r="B43" s="11" t="s">
        <v>40</v>
      </c>
      <c r="C43" s="17" t="s">
        <v>43</v>
      </c>
      <c r="D43" s="13">
        <v>15</v>
      </c>
    </row>
    <row r="44" spans="1:4" ht="13.8" x14ac:dyDescent="0.25">
      <c r="A44" s="10">
        <v>37</v>
      </c>
      <c r="B44" s="11" t="s">
        <v>40</v>
      </c>
      <c r="C44" s="12" t="s">
        <v>44</v>
      </c>
      <c r="D44" s="13">
        <v>10</v>
      </c>
    </row>
    <row r="45" spans="1:4" ht="13.8" x14ac:dyDescent="0.25">
      <c r="A45" s="10">
        <v>38</v>
      </c>
      <c r="B45" s="11" t="s">
        <v>40</v>
      </c>
      <c r="C45" s="12" t="s">
        <v>45</v>
      </c>
      <c r="D45" s="13">
        <v>10</v>
      </c>
    </row>
    <row r="46" spans="1:4" ht="13.8" x14ac:dyDescent="0.25">
      <c r="A46" s="10">
        <v>39</v>
      </c>
      <c r="B46" s="11" t="s">
        <v>40</v>
      </c>
      <c r="C46" s="12" t="s">
        <v>46</v>
      </c>
      <c r="D46" s="13">
        <v>15</v>
      </c>
    </row>
    <row r="47" spans="1:4" ht="13.8" x14ac:dyDescent="0.25">
      <c r="A47" s="10">
        <v>40</v>
      </c>
      <c r="B47" s="11" t="s">
        <v>40</v>
      </c>
      <c r="C47" s="12" t="s">
        <v>47</v>
      </c>
      <c r="D47" s="13">
        <v>7</v>
      </c>
    </row>
    <row r="48" spans="1:4" ht="13.8" x14ac:dyDescent="0.25">
      <c r="A48" s="10">
        <v>41</v>
      </c>
      <c r="B48" s="19" t="s">
        <v>40</v>
      </c>
      <c r="C48" s="17" t="s">
        <v>37</v>
      </c>
      <c r="D48" s="13">
        <v>5</v>
      </c>
    </row>
    <row r="49" spans="1:4" ht="12" customHeight="1" x14ac:dyDescent="0.25">
      <c r="A49" s="131"/>
      <c r="B49" s="131"/>
      <c r="C49" s="131"/>
      <c r="D49" s="8">
        <f>SUM(D40:D48)</f>
        <v>82</v>
      </c>
    </row>
    <row r="50" spans="1:4" ht="15.6" x14ac:dyDescent="0.25">
      <c r="D50" s="21">
        <f>SUM(D11,D21,D39,D49)</f>
        <v>315</v>
      </c>
    </row>
  </sheetData>
  <mergeCells count="10">
    <mergeCell ref="A11:C11"/>
    <mergeCell ref="A21:C21"/>
    <mergeCell ref="A39:C39"/>
    <mergeCell ref="A49:C49"/>
    <mergeCell ref="A1:D1"/>
    <mergeCell ref="F1:L1"/>
    <mergeCell ref="A2:D2"/>
    <mergeCell ref="F2:L2"/>
    <mergeCell ref="H3:L3"/>
    <mergeCell ref="A4:C4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DDD-A46C-49EB-857E-53C854C2AEB1}">
  <dimension ref="A1:AMJ22"/>
  <sheetViews>
    <sheetView workbookViewId="0">
      <selection activeCell="B6" sqref="B6"/>
    </sheetView>
  </sheetViews>
  <sheetFormatPr defaultRowHeight="14.4" x14ac:dyDescent="0.3"/>
  <cols>
    <col min="1" max="1" width="48.19921875" style="1" customWidth="1"/>
    <col min="2" max="2" width="15.5" style="22" customWidth="1"/>
    <col min="3" max="3" width="20.69921875" style="1" customWidth="1"/>
    <col min="4" max="1024" width="8.09765625" style="1" customWidth="1"/>
    <col min="1025" max="1025" width="9" customWidth="1"/>
  </cols>
  <sheetData>
    <row r="1" spans="1:5" ht="15.6" x14ac:dyDescent="0.3">
      <c r="A1" s="133" t="s">
        <v>48</v>
      </c>
      <c r="B1" s="133"/>
      <c r="C1" s="133"/>
    </row>
    <row r="2" spans="1:5" ht="7.5" customHeight="1" x14ac:dyDescent="0.3"/>
    <row r="3" spans="1:5" ht="15.6" x14ac:dyDescent="0.3">
      <c r="A3" s="134" t="s">
        <v>49</v>
      </c>
      <c r="B3" s="134"/>
      <c r="C3" s="134"/>
    </row>
    <row r="4" spans="1:5" ht="15.6" x14ac:dyDescent="0.3">
      <c r="A4" s="23" t="s">
        <v>50</v>
      </c>
      <c r="B4" s="24">
        <f>Backlog_Produto!$D$50</f>
        <v>315</v>
      </c>
      <c r="C4" s="23" t="s">
        <v>51</v>
      </c>
    </row>
    <row r="5" spans="1:5" x14ac:dyDescent="0.3">
      <c r="A5" s="25" t="s">
        <v>52</v>
      </c>
      <c r="B5" s="26">
        <v>0.45</v>
      </c>
      <c r="C5" s="25" t="s">
        <v>53</v>
      </c>
      <c r="E5" s="1" t="s">
        <v>54</v>
      </c>
    </row>
    <row r="6" spans="1:5" x14ac:dyDescent="0.3">
      <c r="A6" s="27" t="s">
        <v>55</v>
      </c>
      <c r="B6" s="28">
        <v>5</v>
      </c>
      <c r="C6" s="27"/>
    </row>
    <row r="7" spans="1:5" x14ac:dyDescent="0.3">
      <c r="A7" s="27" t="s">
        <v>56</v>
      </c>
      <c r="B7" s="28">
        <v>8</v>
      </c>
      <c r="C7" s="27" t="s">
        <v>51</v>
      </c>
    </row>
    <row r="8" spans="1:5" x14ac:dyDescent="0.3">
      <c r="A8" s="27" t="s">
        <v>57</v>
      </c>
      <c r="B8" s="29">
        <f>B6*B7*2</f>
        <v>80</v>
      </c>
      <c r="C8" s="27" t="s">
        <v>51</v>
      </c>
    </row>
    <row r="9" spans="1:5" ht="19.8" x14ac:dyDescent="0.4">
      <c r="A9" s="30" t="s">
        <v>58</v>
      </c>
      <c r="B9" s="31">
        <f>B11/2</f>
        <v>5.7093749999999996</v>
      </c>
      <c r="C9" s="30" t="s">
        <v>59</v>
      </c>
    </row>
    <row r="10" spans="1:5" ht="19.8" x14ac:dyDescent="0.4">
      <c r="A10" s="32" t="s">
        <v>60</v>
      </c>
      <c r="B10" s="31">
        <f>B4+(B4*B5)</f>
        <v>456.75</v>
      </c>
      <c r="C10" s="32" t="s">
        <v>51</v>
      </c>
    </row>
    <row r="11" spans="1:5" x14ac:dyDescent="0.3">
      <c r="A11" s="27" t="s">
        <v>61</v>
      </c>
      <c r="B11" s="29">
        <f>B10/B8*2</f>
        <v>11.418749999999999</v>
      </c>
      <c r="C11" s="27" t="s">
        <v>62</v>
      </c>
    </row>
    <row r="12" spans="1:5" ht="15.6" x14ac:dyDescent="0.3">
      <c r="A12" s="23" t="s">
        <v>63</v>
      </c>
      <c r="B12" s="33">
        <f>B11/4</f>
        <v>2.8546874999999998</v>
      </c>
      <c r="C12" s="23" t="s">
        <v>64</v>
      </c>
    </row>
    <row r="14" spans="1:5" ht="15.6" x14ac:dyDescent="0.3">
      <c r="A14" s="134" t="s">
        <v>65</v>
      </c>
      <c r="B14" s="134"/>
      <c r="C14" s="134"/>
    </row>
    <row r="15" spans="1:5" x14ac:dyDescent="0.3">
      <c r="A15" s="27" t="s">
        <v>66</v>
      </c>
      <c r="B15" s="34">
        <v>50</v>
      </c>
      <c r="C15" s="35"/>
    </row>
    <row r="16" spans="1:5" x14ac:dyDescent="0.3">
      <c r="A16" s="27" t="s">
        <v>67</v>
      </c>
      <c r="B16" s="36">
        <f>B10*B15</f>
        <v>22837.5</v>
      </c>
      <c r="C16" s="35"/>
    </row>
    <row r="17" spans="1:3" x14ac:dyDescent="0.3">
      <c r="A17" s="27" t="s">
        <v>68</v>
      </c>
      <c r="B17" s="26">
        <v>0.2</v>
      </c>
      <c r="C17" s="35"/>
    </row>
    <row r="18" spans="1:3" x14ac:dyDescent="0.3">
      <c r="A18" s="27" t="s">
        <v>69</v>
      </c>
      <c r="B18" s="37">
        <f>B16*B17</f>
        <v>4567.5</v>
      </c>
      <c r="C18" s="35"/>
    </row>
    <row r="19" spans="1:3" ht="18" x14ac:dyDescent="0.35">
      <c r="A19" s="38" t="s">
        <v>70</v>
      </c>
      <c r="B19" s="39">
        <f>B16+B18</f>
        <v>27405</v>
      </c>
      <c r="C19" s="35"/>
    </row>
    <row r="20" spans="1:3" x14ac:dyDescent="0.3">
      <c r="A20" s="27" t="s">
        <v>71</v>
      </c>
      <c r="B20" s="26">
        <v>0.25</v>
      </c>
      <c r="C20" s="35"/>
    </row>
    <row r="21" spans="1:3" x14ac:dyDescent="0.3">
      <c r="A21" s="27" t="s">
        <v>72</v>
      </c>
      <c r="B21" s="40">
        <f>B19*B20</f>
        <v>6851.25</v>
      </c>
      <c r="C21" s="35"/>
    </row>
    <row r="22" spans="1:3" ht="18" x14ac:dyDescent="0.35">
      <c r="A22" s="38" t="s">
        <v>73</v>
      </c>
      <c r="B22" s="39">
        <f>B19+B21</f>
        <v>34256.25</v>
      </c>
      <c r="C22" s="35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1DA-E220-439A-8C7F-F35A70866D36}">
  <dimension ref="A1:AMJ12"/>
  <sheetViews>
    <sheetView tabSelected="1" workbookViewId="0">
      <selection activeCell="H8" sqref="H8"/>
    </sheetView>
  </sheetViews>
  <sheetFormatPr defaultRowHeight="13.8" x14ac:dyDescent="0.25"/>
  <cols>
    <col min="1" max="1" width="6.09765625" style="52" customWidth="1"/>
    <col min="2" max="2" width="45.19921875" style="4" customWidth="1"/>
    <col min="3" max="3" width="13.8984375" style="52" customWidth="1"/>
    <col min="4" max="6" width="13.09765625" style="4" customWidth="1"/>
    <col min="7" max="9" width="13" style="4" customWidth="1"/>
    <col min="10" max="10" width="13" style="20" customWidth="1"/>
    <col min="11" max="11" width="14.69921875" style="4" customWidth="1"/>
    <col min="12" max="1024" width="8.5" style="4" customWidth="1"/>
    <col min="1025" max="1025" width="9" customWidth="1"/>
  </cols>
  <sheetData>
    <row r="1" spans="1:11" ht="23.4" x14ac:dyDescent="0.45">
      <c r="A1" s="120" t="s">
        <v>74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1" ht="15.6" x14ac:dyDescent="0.3">
      <c r="A2" s="121" t="s">
        <v>75</v>
      </c>
      <c r="B2" s="121"/>
      <c r="C2" s="121"/>
      <c r="D2" s="121"/>
      <c r="E2" s="41">
        <f>Planejamento!$B$10</f>
        <v>456.75</v>
      </c>
      <c r="F2" s="42"/>
      <c r="G2" s="121" t="s">
        <v>75</v>
      </c>
      <c r="H2" s="121"/>
      <c r="I2" s="121"/>
      <c r="J2" s="121"/>
      <c r="K2" s="41"/>
    </row>
    <row r="3" spans="1:11" ht="14.4" x14ac:dyDescent="0.3">
      <c r="A3" s="43"/>
      <c r="B3" s="44"/>
      <c r="C3" s="122" t="s">
        <v>76</v>
      </c>
      <c r="D3" s="122"/>
      <c r="E3" s="122"/>
      <c r="F3" s="45"/>
      <c r="G3" s="123" t="s">
        <v>77</v>
      </c>
      <c r="H3" s="123"/>
      <c r="I3" s="123"/>
      <c r="J3" s="47"/>
      <c r="K3" s="48"/>
    </row>
    <row r="4" spans="1:11" ht="14.4" x14ac:dyDescent="0.3">
      <c r="A4" s="46" t="s">
        <v>78</v>
      </c>
      <c r="B4" s="46" t="s">
        <v>79</v>
      </c>
      <c r="C4" s="46" t="s">
        <v>80</v>
      </c>
      <c r="D4" s="46" t="s">
        <v>81</v>
      </c>
      <c r="E4" s="46" t="s">
        <v>17</v>
      </c>
      <c r="F4" s="46" t="s">
        <v>82</v>
      </c>
      <c r="G4" s="46" t="s">
        <v>80</v>
      </c>
      <c r="H4" s="46" t="s">
        <v>83</v>
      </c>
      <c r="I4" s="46" t="s">
        <v>17</v>
      </c>
      <c r="J4" s="49" t="s">
        <v>84</v>
      </c>
      <c r="K4" s="46" t="s">
        <v>85</v>
      </c>
    </row>
    <row r="5" spans="1:11" x14ac:dyDescent="0.25">
      <c r="A5" s="107">
        <v>1</v>
      </c>
      <c r="B5" s="108" t="s">
        <v>86</v>
      </c>
      <c r="C5" s="109">
        <v>46252</v>
      </c>
      <c r="D5" s="109">
        <v>46262</v>
      </c>
      <c r="E5" s="106">
        <v>60</v>
      </c>
      <c r="F5" s="110" t="s">
        <v>87</v>
      </c>
      <c r="G5" s="109">
        <v>46252</v>
      </c>
      <c r="H5" s="109">
        <v>46262</v>
      </c>
      <c r="I5" s="106">
        <v>50</v>
      </c>
      <c r="J5" s="112">
        <f>E5-I5</f>
        <v>10</v>
      </c>
      <c r="K5" s="111" t="s">
        <v>247</v>
      </c>
    </row>
    <row r="6" spans="1:11" x14ac:dyDescent="0.25">
      <c r="A6" s="107">
        <v>2</v>
      </c>
      <c r="B6" s="108" t="s">
        <v>272</v>
      </c>
      <c r="C6" s="109">
        <v>46279</v>
      </c>
      <c r="D6" s="109">
        <v>46290</v>
      </c>
      <c r="E6" s="106">
        <v>85</v>
      </c>
      <c r="F6" s="110" t="s">
        <v>87</v>
      </c>
      <c r="G6" s="109">
        <v>46280</v>
      </c>
      <c r="H6" s="109">
        <v>46296</v>
      </c>
      <c r="I6" s="113">
        <v>95</v>
      </c>
      <c r="J6" s="114">
        <v>5</v>
      </c>
      <c r="K6" s="111" t="s">
        <v>248</v>
      </c>
    </row>
    <row r="7" spans="1:11" x14ac:dyDescent="0.25">
      <c r="A7" s="107">
        <v>3</v>
      </c>
      <c r="B7" s="108" t="s">
        <v>274</v>
      </c>
      <c r="C7" s="109">
        <v>46293</v>
      </c>
      <c r="D7" s="109">
        <v>46304</v>
      </c>
      <c r="E7" s="106">
        <v>76</v>
      </c>
      <c r="F7" s="110" t="s">
        <v>273</v>
      </c>
      <c r="G7" s="109">
        <v>46297</v>
      </c>
      <c r="H7" s="109"/>
      <c r="I7" s="113"/>
      <c r="J7" s="114"/>
      <c r="K7" s="111" t="s">
        <v>249</v>
      </c>
    </row>
    <row r="8" spans="1:11" ht="27.6" x14ac:dyDescent="0.25">
      <c r="A8" s="107">
        <v>4</v>
      </c>
      <c r="B8" s="108" t="s">
        <v>275</v>
      </c>
      <c r="C8" s="109">
        <v>46307</v>
      </c>
      <c r="D8" s="109">
        <v>46318</v>
      </c>
      <c r="E8" s="106">
        <v>82</v>
      </c>
      <c r="F8" s="110" t="s">
        <v>88</v>
      </c>
      <c r="G8" s="109"/>
      <c r="H8" s="109"/>
      <c r="I8" s="113"/>
      <c r="J8" s="114"/>
      <c r="K8" s="111" t="s">
        <v>250</v>
      </c>
    </row>
    <row r="9" spans="1:11" ht="27.6" x14ac:dyDescent="0.25">
      <c r="A9" s="107">
        <v>5</v>
      </c>
      <c r="B9" s="108" t="s">
        <v>245</v>
      </c>
      <c r="C9" s="109">
        <v>46321</v>
      </c>
      <c r="D9" s="109">
        <v>46332</v>
      </c>
      <c r="E9" s="106">
        <v>77</v>
      </c>
      <c r="F9" s="110" t="s">
        <v>88</v>
      </c>
      <c r="G9" s="109"/>
      <c r="H9" s="109"/>
      <c r="I9" s="113"/>
      <c r="J9" s="114"/>
      <c r="K9" s="111" t="s">
        <v>251</v>
      </c>
    </row>
    <row r="10" spans="1:11" ht="27.6" x14ac:dyDescent="0.25">
      <c r="A10" s="107">
        <v>6</v>
      </c>
      <c r="B10" s="108" t="s">
        <v>246</v>
      </c>
      <c r="C10" s="109">
        <v>46335</v>
      </c>
      <c r="D10" s="109">
        <v>46346</v>
      </c>
      <c r="E10" s="106">
        <v>76.5</v>
      </c>
      <c r="F10" s="110" t="s">
        <v>88</v>
      </c>
      <c r="G10" s="109"/>
      <c r="H10" s="109"/>
      <c r="I10" s="113"/>
      <c r="J10" s="114"/>
      <c r="K10" s="111" t="s">
        <v>252</v>
      </c>
    </row>
    <row r="11" spans="1:11" ht="14.4" x14ac:dyDescent="0.3">
      <c r="A11" s="50"/>
      <c r="B11" s="115"/>
      <c r="C11" s="116"/>
      <c r="D11" s="115"/>
      <c r="E11" s="117">
        <f>SUM(E5:E10)</f>
        <v>456.5</v>
      </c>
      <c r="F11" s="115"/>
      <c r="G11" s="118"/>
      <c r="H11" s="118"/>
      <c r="I11" s="117">
        <f>SUM(I5:I10)</f>
        <v>145</v>
      </c>
      <c r="J11" s="119">
        <f>SUM(J5:J10)</f>
        <v>15</v>
      </c>
      <c r="K11" s="118"/>
    </row>
    <row r="12" spans="1:11" s="4" customFormat="1" ht="12" x14ac:dyDescent="0.25">
      <c r="J12" s="20"/>
    </row>
  </sheetData>
  <mergeCells count="5">
    <mergeCell ref="A1:K1"/>
    <mergeCell ref="A2:D2"/>
    <mergeCell ref="G2:J2"/>
    <mergeCell ref="C3:E3"/>
    <mergeCell ref="G3:I3"/>
  </mergeCells>
  <phoneticPr fontId="41" type="noConversion"/>
  <conditionalFormatting sqref="A5:D10 G5:H10">
    <cfRule type="expression" dxfId="7" priority="6" stopIfTrue="1">
      <formula>OR($F5="Planned",$F5="Unplanned")</formula>
    </cfRule>
    <cfRule type="expression" dxfId="6" priority="7" stopIfTrue="1">
      <formula>$F5="Ongoing"</formula>
    </cfRule>
  </conditionalFormatting>
  <conditionalFormatting sqref="F5:F10">
    <cfRule type="expression" dxfId="5" priority="1" stopIfTrue="1">
      <formula>$F5="Planned"</formula>
    </cfRule>
    <cfRule type="expression" dxfId="4" priority="2" stopIfTrue="1">
      <formula>$F5="Ongoing"</formula>
    </cfRule>
    <cfRule type="cellIs" dxfId="3" priority="3" stopIfTrue="1" operator="equal">
      <formula>"Unplanned"</formula>
    </cfRule>
  </conditionalFormatting>
  <dataValidations count="1">
    <dataValidation type="list" allowBlank="1" showInputMessage="1" showErrorMessage="1" sqref="F5:F10" xr:uid="{C78FDD1F-B0F2-4AFC-955B-D2D7B2E91EA2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4FE-1B63-401C-B573-13BE1BFD24E2}">
  <dimension ref="A1:AMJ53"/>
  <sheetViews>
    <sheetView topLeftCell="A40" zoomScale="128" workbookViewId="0">
      <selection activeCell="D55" sqref="D55"/>
    </sheetView>
  </sheetViews>
  <sheetFormatPr defaultRowHeight="13.8" x14ac:dyDescent="0.25"/>
  <cols>
    <col min="1" max="1" width="5.59765625" style="54" customWidth="1"/>
    <col min="2" max="2" width="35.59765625" style="54" customWidth="1"/>
    <col min="3" max="3" width="6.5" style="54" customWidth="1"/>
    <col min="4" max="4" width="13.19921875" style="54" customWidth="1"/>
    <col min="5" max="5" width="8.8984375" style="54" customWidth="1"/>
    <col min="6" max="6" width="12.5" style="54" customWidth="1"/>
    <col min="7" max="7" width="9.09765625" style="54" customWidth="1"/>
    <col min="8" max="9" width="12.19921875" style="54" customWidth="1"/>
    <col min="10" max="10" width="24.19921875" style="54" customWidth="1"/>
    <col min="11" max="11" width="27.8984375" style="54" customWidth="1"/>
    <col min="12" max="12" width="8.5" style="54" customWidth="1"/>
    <col min="13" max="14" width="20.5" style="54" customWidth="1"/>
    <col min="15" max="256" width="8.5" style="54" customWidth="1"/>
    <col min="257" max="258" width="6.5" style="54" customWidth="1"/>
    <col min="259" max="259" width="13.8984375" style="54" customWidth="1"/>
    <col min="260" max="260" width="9" style="54" customWidth="1"/>
    <col min="261" max="261" width="13.5" style="54" customWidth="1"/>
    <col min="262" max="262" width="10" style="54" customWidth="1"/>
    <col min="263" max="263" width="12.19921875" style="54" customWidth="1"/>
    <col min="264" max="264" width="5.8984375" style="54" customWidth="1"/>
    <col min="265" max="265" width="24.19921875" style="54" customWidth="1"/>
    <col min="266" max="266" width="32.5" style="54" customWidth="1"/>
    <col min="267" max="267" width="17.59765625" style="54" customWidth="1"/>
    <col min="268" max="268" width="8.5" style="54" customWidth="1"/>
    <col min="269" max="270" width="20.5" style="54" customWidth="1"/>
    <col min="271" max="512" width="8.5" style="54" customWidth="1"/>
    <col min="513" max="514" width="6.5" style="54" customWidth="1"/>
    <col min="515" max="515" width="13.8984375" style="54" customWidth="1"/>
    <col min="516" max="516" width="9" style="54" customWidth="1"/>
    <col min="517" max="517" width="13.5" style="54" customWidth="1"/>
    <col min="518" max="518" width="10" style="54" customWidth="1"/>
    <col min="519" max="519" width="12.19921875" style="54" customWidth="1"/>
    <col min="520" max="520" width="5.8984375" style="54" customWidth="1"/>
    <col min="521" max="521" width="24.19921875" style="54" customWidth="1"/>
    <col min="522" max="522" width="32.5" style="54" customWidth="1"/>
    <col min="523" max="523" width="17.59765625" style="54" customWidth="1"/>
    <col min="524" max="524" width="8.5" style="54" customWidth="1"/>
    <col min="525" max="526" width="20.5" style="54" customWidth="1"/>
    <col min="527" max="768" width="8.5" style="54" customWidth="1"/>
    <col min="769" max="770" width="6.5" style="54" customWidth="1"/>
    <col min="771" max="771" width="13.8984375" style="54" customWidth="1"/>
    <col min="772" max="772" width="9" style="54" customWidth="1"/>
    <col min="773" max="773" width="13.5" style="54" customWidth="1"/>
    <col min="774" max="774" width="10" style="54" customWidth="1"/>
    <col min="775" max="775" width="12.19921875" style="54" customWidth="1"/>
    <col min="776" max="776" width="5.8984375" style="54" customWidth="1"/>
    <col min="777" max="777" width="24.19921875" style="54" customWidth="1"/>
    <col min="778" max="778" width="32.5" style="54" customWidth="1"/>
    <col min="779" max="779" width="17.59765625" style="54" customWidth="1"/>
    <col min="780" max="780" width="8.5" style="54" customWidth="1"/>
    <col min="781" max="782" width="20.5" style="54" customWidth="1"/>
    <col min="783" max="1024" width="8.5" style="54" customWidth="1"/>
    <col min="1025" max="1025" width="9" customWidth="1"/>
  </cols>
  <sheetData>
    <row r="1" spans="1:11" s="53" customFormat="1" ht="21" customHeight="1" x14ac:dyDescent="0.45">
      <c r="A1" s="120" t="s">
        <v>89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1" hidden="1" x14ac:dyDescent="0.25"/>
    <row r="3" spans="1:11" hidden="1" x14ac:dyDescent="0.25">
      <c r="D3" s="55" t="s">
        <v>90</v>
      </c>
    </row>
    <row r="4" spans="1:11" ht="21" hidden="1" x14ac:dyDescent="0.25">
      <c r="D4" s="56" t="s">
        <v>91</v>
      </c>
    </row>
    <row r="5" spans="1:11" hidden="1" x14ac:dyDescent="0.25">
      <c r="D5" s="56" t="s">
        <v>92</v>
      </c>
    </row>
    <row r="6" spans="1:11" hidden="1" x14ac:dyDescent="0.25">
      <c r="D6" s="56" t="s">
        <v>93</v>
      </c>
    </row>
    <row r="7" spans="1:11" ht="21" hidden="1" x14ac:dyDescent="0.25">
      <c r="D7" s="56" t="s">
        <v>94</v>
      </c>
    </row>
    <row r="8" spans="1:11" hidden="1" x14ac:dyDescent="0.25">
      <c r="D8" s="56" t="s">
        <v>95</v>
      </c>
    </row>
    <row r="9" spans="1:11" hidden="1" x14ac:dyDescent="0.25">
      <c r="D9" s="56" t="s">
        <v>96</v>
      </c>
    </row>
    <row r="10" spans="1:11" hidden="1" x14ac:dyDescent="0.25">
      <c r="D10" s="56" t="s">
        <v>97</v>
      </c>
    </row>
    <row r="11" spans="1:11" hidden="1" x14ac:dyDescent="0.25">
      <c r="D11" s="56" t="s">
        <v>98</v>
      </c>
    </row>
    <row r="12" spans="1:11" hidden="1" x14ac:dyDescent="0.25">
      <c r="D12" s="56" t="s">
        <v>99</v>
      </c>
    </row>
    <row r="13" spans="1:11" ht="21" hidden="1" x14ac:dyDescent="0.25">
      <c r="D13" s="56" t="s">
        <v>100</v>
      </c>
    </row>
    <row r="14" spans="1:11" ht="21" hidden="1" x14ac:dyDescent="0.25">
      <c r="D14" s="55" t="s">
        <v>101</v>
      </c>
    </row>
    <row r="15" spans="1:11" hidden="1" x14ac:dyDescent="0.25">
      <c r="D15" s="56" t="s">
        <v>102</v>
      </c>
    </row>
    <row r="16" spans="1:11" hidden="1" x14ac:dyDescent="0.25">
      <c r="D16" s="56" t="s">
        <v>103</v>
      </c>
    </row>
    <row r="17" spans="4:4" hidden="1" x14ac:dyDescent="0.25">
      <c r="D17" s="56" t="s">
        <v>104</v>
      </c>
    </row>
    <row r="18" spans="4:4" hidden="1" x14ac:dyDescent="0.25">
      <c r="D18" s="55" t="s">
        <v>105</v>
      </c>
    </row>
    <row r="19" spans="4:4" hidden="1" x14ac:dyDescent="0.25">
      <c r="D19" s="56" t="s">
        <v>106</v>
      </c>
    </row>
    <row r="20" spans="4:4" hidden="1" x14ac:dyDescent="0.25">
      <c r="D20" s="56" t="s">
        <v>107</v>
      </c>
    </row>
    <row r="21" spans="4:4" hidden="1" x14ac:dyDescent="0.25">
      <c r="D21" s="56" t="s">
        <v>108</v>
      </c>
    </row>
    <row r="22" spans="4:4" hidden="1" x14ac:dyDescent="0.25">
      <c r="D22" s="55" t="s">
        <v>109</v>
      </c>
    </row>
    <row r="23" spans="4:4" hidden="1" x14ac:dyDescent="0.25">
      <c r="D23" s="56" t="s">
        <v>110</v>
      </c>
    </row>
    <row r="24" spans="4:4" hidden="1" x14ac:dyDescent="0.25">
      <c r="D24" s="56" t="s">
        <v>111</v>
      </c>
    </row>
    <row r="25" spans="4:4" hidden="1" x14ac:dyDescent="0.25">
      <c r="D25" s="56" t="s">
        <v>112</v>
      </c>
    </row>
    <row r="26" spans="4:4" hidden="1" x14ac:dyDescent="0.25">
      <c r="D26" s="56" t="s">
        <v>113</v>
      </c>
    </row>
    <row r="27" spans="4:4" hidden="1" x14ac:dyDescent="0.25">
      <c r="D27" s="55" t="s">
        <v>114</v>
      </c>
    </row>
    <row r="28" spans="4:4" hidden="1" x14ac:dyDescent="0.25">
      <c r="D28" s="56" t="s">
        <v>115</v>
      </c>
    </row>
    <row r="29" spans="4:4" hidden="1" x14ac:dyDescent="0.25">
      <c r="D29" s="56" t="s">
        <v>116</v>
      </c>
    </row>
    <row r="30" spans="4:4" hidden="1" x14ac:dyDescent="0.25">
      <c r="D30" s="56" t="s">
        <v>117</v>
      </c>
    </row>
    <row r="31" spans="4:4" s="57" customFormat="1" ht="10.199999999999999" hidden="1" x14ac:dyDescent="0.2">
      <c r="D31" s="58" t="s">
        <v>118</v>
      </c>
    </row>
    <row r="32" spans="4:4" hidden="1" x14ac:dyDescent="0.25">
      <c r="D32" s="59" t="s">
        <v>119</v>
      </c>
    </row>
    <row r="33" spans="1:11" ht="22.5" hidden="1" customHeight="1" x14ac:dyDescent="0.25">
      <c r="D33" s="136" t="s">
        <v>120</v>
      </c>
      <c r="E33" s="136"/>
    </row>
    <row r="34" spans="1:11" hidden="1" x14ac:dyDescent="0.25">
      <c r="D34" s="56">
        <v>4290</v>
      </c>
      <c r="E34" s="56" t="s">
        <v>121</v>
      </c>
    </row>
    <row r="35" spans="1:11" ht="21" hidden="1" x14ac:dyDescent="0.25">
      <c r="D35" s="56">
        <v>5082</v>
      </c>
      <c r="E35" s="56" t="s">
        <v>122</v>
      </c>
    </row>
    <row r="36" spans="1:11" ht="21" hidden="1" x14ac:dyDescent="0.25">
      <c r="D36" s="56">
        <v>4356</v>
      </c>
      <c r="E36" s="56" t="s">
        <v>123</v>
      </c>
    </row>
    <row r="37" spans="1:11" ht="21" hidden="1" x14ac:dyDescent="0.25">
      <c r="D37" s="56">
        <v>5929</v>
      </c>
      <c r="E37" s="56" t="s">
        <v>124</v>
      </c>
    </row>
    <row r="38" spans="1:11" hidden="1" x14ac:dyDescent="0.25">
      <c r="D38" s="56">
        <v>5005</v>
      </c>
      <c r="E38" s="56" t="s">
        <v>125</v>
      </c>
    </row>
    <row r="39" spans="1:11" hidden="1" x14ac:dyDescent="0.25">
      <c r="D39" s="56">
        <v>4225</v>
      </c>
      <c r="E39" s="56" t="s">
        <v>126</v>
      </c>
    </row>
    <row r="40" spans="1:11" ht="8.25" customHeight="1" x14ac:dyDescent="0.25"/>
    <row r="41" spans="1:11" s="53" customFormat="1" ht="12.75" customHeight="1" x14ac:dyDescent="0.3">
      <c r="A41" s="137" t="s">
        <v>127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</row>
    <row r="42" spans="1:11" s="53" customFormat="1" ht="12.75" customHeight="1" x14ac:dyDescent="0.3">
      <c r="A42" s="138" t="s">
        <v>128</v>
      </c>
      <c r="B42" s="138"/>
      <c r="C42" s="138"/>
      <c r="D42" s="138"/>
      <c r="E42" s="138"/>
      <c r="F42" s="138"/>
      <c r="G42" s="138"/>
      <c r="H42" s="138"/>
      <c r="I42" s="138"/>
      <c r="J42" s="138"/>
      <c r="K42" s="138"/>
    </row>
    <row r="43" spans="1:11" s="53" customFormat="1" ht="15" customHeight="1" x14ac:dyDescent="0.3">
      <c r="A43" s="139" t="s">
        <v>129</v>
      </c>
      <c r="B43" s="139"/>
      <c r="C43" s="139"/>
      <c r="D43" s="139"/>
      <c r="E43" s="139"/>
      <c r="F43" s="139"/>
      <c r="G43" s="139"/>
      <c r="H43" s="139"/>
      <c r="I43" s="139"/>
      <c r="J43" s="139"/>
      <c r="K43" s="139"/>
    </row>
    <row r="44" spans="1:11" s="53" customFormat="1" ht="15.75" customHeight="1" x14ac:dyDescent="0.3">
      <c r="A44" s="135" t="s">
        <v>130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</row>
    <row r="45" spans="1:11" ht="9" customHeight="1" x14ac:dyDescent="0.25"/>
    <row r="46" spans="1:11" ht="14.4" x14ac:dyDescent="0.3">
      <c r="A46" s="140" t="s">
        <v>131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</row>
    <row r="47" spans="1:11" s="62" customFormat="1" ht="12.75" customHeight="1" x14ac:dyDescent="0.25">
      <c r="A47" s="60" t="s">
        <v>132</v>
      </c>
      <c r="B47" s="61"/>
      <c r="C47" s="141" t="s">
        <v>133</v>
      </c>
      <c r="D47" s="141"/>
      <c r="E47" s="141"/>
      <c r="F47" s="141"/>
      <c r="G47" s="141"/>
      <c r="H47" s="141"/>
      <c r="I47" s="141"/>
      <c r="J47" s="141"/>
      <c r="K47" s="141"/>
    </row>
    <row r="48" spans="1:11" s="64" customFormat="1" ht="11.25" customHeight="1" x14ac:dyDescent="0.25">
      <c r="A48" s="142"/>
      <c r="B48" s="143" t="s">
        <v>134</v>
      </c>
      <c r="C48" s="143" t="s">
        <v>135</v>
      </c>
      <c r="D48" s="143" t="s">
        <v>136</v>
      </c>
      <c r="E48" s="143" t="s">
        <v>105</v>
      </c>
      <c r="F48" s="143" t="s">
        <v>137</v>
      </c>
      <c r="G48" s="143" t="s">
        <v>109</v>
      </c>
      <c r="H48" s="144" t="s">
        <v>138</v>
      </c>
      <c r="I48" s="144"/>
      <c r="J48" s="144"/>
      <c r="K48" s="144"/>
    </row>
    <row r="49" spans="1:11" s="64" customFormat="1" ht="11.25" customHeight="1" x14ac:dyDescent="0.25">
      <c r="A49" s="142"/>
      <c r="B49" s="143"/>
      <c r="C49" s="143"/>
      <c r="D49" s="143"/>
      <c r="E49" s="143"/>
      <c r="F49" s="143"/>
      <c r="G49" s="143"/>
      <c r="H49" s="143" t="s">
        <v>139</v>
      </c>
      <c r="I49" s="143"/>
      <c r="J49" s="63" t="s">
        <v>140</v>
      </c>
      <c r="K49" s="63" t="s">
        <v>141</v>
      </c>
    </row>
    <row r="50" spans="1:11" s="64" customFormat="1" ht="20.399999999999999" x14ac:dyDescent="0.25">
      <c r="A50" s="65">
        <v>1</v>
      </c>
      <c r="B50" s="65" t="s">
        <v>142</v>
      </c>
      <c r="C50" s="66">
        <v>46252</v>
      </c>
      <c r="D50" s="67" t="s">
        <v>103</v>
      </c>
      <c r="E50" s="67" t="s">
        <v>108</v>
      </c>
      <c r="F50" s="68" t="str">
        <f t="shared" ref="F50:F53" si="0">IF(OR((CODE($D50)*CODE($E50))=$D$36,(CODE($D50)*CODE($E50))=$D$35),$D$15,IF(OR((CODE($D50)*CODE($E50))=$D$34,(CODE($D50)*CODE($E50))=$D$37),$D$16,IF(OR((CODE($D50)*CODE($E50))=$D$38,(CODE($D50)*CODE($E50))=$D$39),$D$17,0)))</f>
        <v>Alta</v>
      </c>
      <c r="G50" s="67" t="s">
        <v>110</v>
      </c>
      <c r="H50" s="147" t="s">
        <v>254</v>
      </c>
      <c r="I50" s="147"/>
      <c r="J50" s="67" t="s">
        <v>253</v>
      </c>
      <c r="K50" s="67" t="s">
        <v>255</v>
      </c>
    </row>
    <row r="51" spans="1:11" s="64" customFormat="1" ht="20.399999999999999" x14ac:dyDescent="0.25">
      <c r="A51" s="65">
        <v>2</v>
      </c>
      <c r="B51" s="65" t="s">
        <v>256</v>
      </c>
      <c r="C51" s="66">
        <v>46252</v>
      </c>
      <c r="D51" s="67" t="s">
        <v>103</v>
      </c>
      <c r="E51" s="67" t="s">
        <v>107</v>
      </c>
      <c r="F51" s="68" t="str">
        <f t="shared" si="0"/>
        <v>Média</v>
      </c>
      <c r="G51" s="67" t="s">
        <v>110</v>
      </c>
      <c r="H51" s="145" t="s">
        <v>254</v>
      </c>
      <c r="I51" s="146"/>
      <c r="J51" s="67" t="s">
        <v>257</v>
      </c>
      <c r="K51" s="67" t="s">
        <v>258</v>
      </c>
    </row>
    <row r="52" spans="1:11" s="64" customFormat="1" ht="20.399999999999999" x14ac:dyDescent="0.25">
      <c r="A52" s="65">
        <v>3</v>
      </c>
      <c r="B52" s="65" t="s">
        <v>259</v>
      </c>
      <c r="C52" s="66">
        <v>46252</v>
      </c>
      <c r="D52" s="67" t="s">
        <v>103</v>
      </c>
      <c r="E52" s="67" t="s">
        <v>108</v>
      </c>
      <c r="F52" s="68" t="str">
        <f t="shared" si="0"/>
        <v>Alta</v>
      </c>
      <c r="G52" s="67" t="s">
        <v>110</v>
      </c>
      <c r="H52" s="145" t="s">
        <v>254</v>
      </c>
      <c r="I52" s="146"/>
      <c r="J52" s="67" t="s">
        <v>260</v>
      </c>
      <c r="K52" s="67" t="s">
        <v>261</v>
      </c>
    </row>
    <row r="53" spans="1:11" s="64" customFormat="1" ht="30.6" x14ac:dyDescent="0.25">
      <c r="A53" s="65">
        <v>4</v>
      </c>
      <c r="B53" s="65" t="s">
        <v>262</v>
      </c>
      <c r="C53" s="66">
        <v>46252</v>
      </c>
      <c r="D53" s="67" t="s">
        <v>102</v>
      </c>
      <c r="E53" s="67" t="s">
        <v>107</v>
      </c>
      <c r="F53" s="68" t="str">
        <f t="shared" si="0"/>
        <v>Baixa</v>
      </c>
      <c r="G53" s="67" t="s">
        <v>110</v>
      </c>
      <c r="H53" s="145" t="s">
        <v>263</v>
      </c>
      <c r="I53" s="146"/>
      <c r="J53" s="67" t="s">
        <v>264</v>
      </c>
      <c r="K53" s="67" t="s">
        <v>265</v>
      </c>
    </row>
  </sheetData>
  <mergeCells count="21">
    <mergeCell ref="H53:I53"/>
    <mergeCell ref="H49:I49"/>
    <mergeCell ref="H50:I50"/>
    <mergeCell ref="H51:I51"/>
    <mergeCell ref="H52:I52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  <mergeCell ref="A44:K44"/>
    <mergeCell ref="A1:K1"/>
    <mergeCell ref="D33:E33"/>
    <mergeCell ref="A41:K41"/>
    <mergeCell ref="A42:K42"/>
    <mergeCell ref="A43:K43"/>
  </mergeCells>
  <conditionalFormatting sqref="F50:F53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65551:D65553 IY65551:IY65553 SU65551:SU65553 ACQ65551:ACQ65553 D65562:D65564 IY65562:IY65564 SU65562:SU65564 ACQ65562:ACQ65564 D65573:D65575 IY65573:IY65575 SU65573:SU65575 ACQ65573:ACQ65575 D65584:D65586 IY65584:IY65586 SU65584:SU65586 ACQ65584:ACQ65586 D131087:D131089 IY131087:IY131089 SU131087:SU131089 ACQ131087:ACQ131089 D131098:D131100 IY131098:IY131100 SU131098:SU131100 ACQ131098:ACQ131100 D131109:D131111 IY131109:IY131111 SU131109:SU131111 ACQ131109:ACQ131111 D131120:D131122 IY131120:IY131122 SU131120:SU131122 ACQ131120:ACQ131122 D196623:D196625 IY196623:IY196625 SU196623:SU196625 ACQ196623:ACQ196625 D196634:D196636 IY196634:IY196636 SU196634:SU196636 ACQ196634:ACQ196636 D196645:D196647 IY196645:IY196647 SU196645:SU196647 ACQ196645:ACQ196647 D196656:D196658 IY196656:IY196658 SU196656:SU196658 ACQ196656:ACQ196658 D262159:D262161 IY262159:IY262161 SU262159:SU262161 ACQ262159:ACQ262161 D262170:D262172 IY262170:IY262172 SU262170:SU262172 ACQ262170:ACQ262172 D262181:D262183 IY262181:IY262183 SU262181:SU262183 ACQ262181:ACQ262183 D262192:D262194 IY262192:IY262194 SU262192:SU262194 ACQ262192:ACQ262194 D327695:D327697 IY327695:IY327697 SU327695:SU327697 ACQ327695:ACQ327697 D327706:D327708 IY327706:IY327708 SU327706:SU327708 ACQ327706:ACQ327708 D327717:D327719 IY327717:IY327719 SU327717:SU327719 ACQ327717:ACQ327719 D327728:D327730 IY327728:IY327730 SU327728:SU327730 ACQ327728:ACQ327730 D393231:D393233 IY393231:IY393233 SU393231:SU393233 ACQ393231:ACQ393233 D393242:D393244 IY393242:IY393244 SU393242:SU393244 ACQ393242:ACQ393244 D393253:D393255 IY393253:IY393255 SU393253:SU393255 ACQ393253:ACQ393255 D393264:D393266 IY393264:IY393266 SU393264:SU393266 ACQ393264:ACQ393266 D458767:D458769 IY458767:IY458769 SU458767:SU458769 ACQ458767:ACQ458769 D458778:D458780 IY458778:IY458780 SU458778:SU458780 ACQ458778:ACQ458780 D458789:D458791 IY458789:IY458791 SU458789:SU458791 ACQ458789:ACQ458791 D458800:D458802 IY458800:IY458802 SU458800:SU458802 ACQ458800:ACQ458802 D524303:D524305 IY524303:IY524305 SU524303:SU524305 ACQ524303:ACQ524305 D524314:D524316 IY524314:IY524316 SU524314:SU524316 ACQ524314:ACQ524316 D524325:D524327 IY524325:IY524327 SU524325:SU524327 ACQ524325:ACQ524327 D524336:D524338 IY524336:IY524338 SU524336:SU524338 ACQ524336:ACQ524338 D589839:D589841 IY589839:IY589841 SU589839:SU589841 ACQ589839:ACQ589841 D589850:D589852 IY589850:IY589852 SU589850:SU589852 ACQ589850:ACQ589852 D589861:D589863 IY589861:IY589863 SU589861:SU589863 ACQ589861:ACQ589863 D589872:D589874 IY589872:IY589874 SU589872:SU589874 ACQ589872:ACQ589874 D655375:D655377 IY655375:IY655377 SU655375:SU655377 ACQ655375:ACQ655377 D655386:D655388 IY655386:IY655388 SU655386:SU655388 ACQ655386:ACQ655388 D655397:D655399 IY655397:IY655399 SU655397:SU655399 ACQ655397:ACQ655399 D655408:D655410 IY655408:IY655410 SU655408:SU655410 ACQ655408:ACQ655410 D720911:D720913 IY720911:IY720913 SU720911:SU720913 ACQ720911:ACQ720913 D720922:D720924 IY720922:IY720924 SU720922:SU720924 ACQ720922:ACQ720924 D720933:D720935 IY720933:IY720935 SU720933:SU720935 ACQ720933:ACQ720935 D720944:D720946 IY720944:IY720946 SU720944:SU720946 ACQ720944:ACQ720946 D786447:D786449 IY786447:IY786449 SU786447:SU786449 ACQ786447:ACQ786449 D786458:D786460 IY786458:IY786460 SU786458:SU786460 ACQ786458:ACQ786460 D786469:D786471 IY786469:IY786471 SU786469:SU786471 ACQ786469:ACQ786471 D786480:D786482 IY786480:IY786482 SU786480:SU786482 ACQ786480:ACQ786482 D851983:D851985 IY851983:IY851985 SU851983:SU851985 ACQ851983:ACQ851985 D851994:D851996 IY851994:IY851996 SU851994:SU851996 ACQ851994:ACQ851996 D852005:D852007 IY852005:IY852007 SU852005:SU852007 ACQ852005:ACQ852007 D852016:D852018 IY852016:IY852018 SU852016:SU852018 ACQ852016:ACQ852018 D917519:D917521 IY917519:IY917521 SU917519:SU917521 ACQ917519:ACQ917521 D917530:D917532 IY917530:IY917532 SU917530:SU917532 ACQ917530:ACQ917532 D917541:D917543 IY917541:IY917543 SU917541:SU917543 ACQ917541:ACQ917543 D917552:D917554 IY917552:IY917554 SU917552:SU917554 ACQ917552:ACQ917554 D983055:D983057 IY983055:IY983057 SU983055:SU983057 ACQ983055:ACQ983057 D983066:D983068 IY983066:IY983068 SU983066:SU983068 ACQ983066:ACQ983068 D983077:D983079 IY983077:IY983079 SU983077:SU983079 ACQ983077:ACQ983079 D983088:D983090 IY983088:IY983090 SU983088:SU983090 ACQ983088:ACQ983090 ACQ50:ACQ53 SU50:SU53 IY50:IY53 D50:D53" xr:uid="{836B5865-9CBE-4CA0-BC98-5E9C64031C50}">
      <formula1>$D$15:$D$17</formula1>
    </dataValidation>
    <dataValidation type="list" allowBlank="1" showInputMessage="1" showErrorMessage="1" sqref="E65551:E65553 IZ65551:IZ65553 SV65551:SV65553 ACR65551:ACR65553 E65562:E65564 IZ65562:IZ65564 SV65562:SV65564 ACR65562:ACR65564 E65573:E65575 IZ65573:IZ65575 SV65573:SV65575 ACR65573:ACR65575 E65584:E65586 IZ65584:IZ65586 SV65584:SV65586 ACR65584:ACR65586 E131087:E131089 IZ131087:IZ131089 SV131087:SV131089 ACR131087:ACR131089 E131098:E131100 IZ131098:IZ131100 SV131098:SV131100 ACR131098:ACR131100 E131109:E131111 IZ131109:IZ131111 SV131109:SV131111 ACR131109:ACR131111 E131120:E131122 IZ131120:IZ131122 SV131120:SV131122 ACR131120:ACR131122 E196623:E196625 IZ196623:IZ196625 SV196623:SV196625 ACR196623:ACR196625 E196634:E196636 IZ196634:IZ196636 SV196634:SV196636 ACR196634:ACR196636 E196645:E196647 IZ196645:IZ196647 SV196645:SV196647 ACR196645:ACR196647 E196656:E196658 IZ196656:IZ196658 SV196656:SV196658 ACR196656:ACR196658 E262159:E262161 IZ262159:IZ262161 SV262159:SV262161 ACR262159:ACR262161 E262170:E262172 IZ262170:IZ262172 SV262170:SV262172 ACR262170:ACR262172 E262181:E262183 IZ262181:IZ262183 SV262181:SV262183 ACR262181:ACR262183 E262192:E262194 IZ262192:IZ262194 SV262192:SV262194 ACR262192:ACR262194 E327695:E327697 IZ327695:IZ327697 SV327695:SV327697 ACR327695:ACR327697 E327706:E327708 IZ327706:IZ327708 SV327706:SV327708 ACR327706:ACR327708 E327717:E327719 IZ327717:IZ327719 SV327717:SV327719 ACR327717:ACR327719 E327728:E327730 IZ327728:IZ327730 SV327728:SV327730 ACR327728:ACR327730 E393231:E393233 IZ393231:IZ393233 SV393231:SV393233 ACR393231:ACR393233 E393242:E393244 IZ393242:IZ393244 SV393242:SV393244 ACR393242:ACR393244 E393253:E393255 IZ393253:IZ393255 SV393253:SV393255 ACR393253:ACR393255 E393264:E393266 IZ393264:IZ393266 SV393264:SV393266 ACR393264:ACR393266 E458767:E458769 IZ458767:IZ458769 SV458767:SV458769 ACR458767:ACR458769 E458778:E458780 IZ458778:IZ458780 SV458778:SV458780 ACR458778:ACR458780 E458789:E458791 IZ458789:IZ458791 SV458789:SV458791 ACR458789:ACR458791 E458800:E458802 IZ458800:IZ458802 SV458800:SV458802 ACR458800:ACR458802 E524303:E524305 IZ524303:IZ524305 SV524303:SV524305 ACR524303:ACR524305 E524314:E524316 IZ524314:IZ524316 SV524314:SV524316 ACR524314:ACR524316 E524325:E524327 IZ524325:IZ524327 SV524325:SV524327 ACR524325:ACR524327 E524336:E524338 IZ524336:IZ524338 SV524336:SV524338 ACR524336:ACR524338 E589839:E589841 IZ589839:IZ589841 SV589839:SV589841 ACR589839:ACR589841 E589850:E589852 IZ589850:IZ589852 SV589850:SV589852 ACR589850:ACR589852 E589861:E589863 IZ589861:IZ589863 SV589861:SV589863 ACR589861:ACR589863 E589872:E589874 IZ589872:IZ589874 SV589872:SV589874 ACR589872:ACR589874 E655375:E655377 IZ655375:IZ655377 SV655375:SV655377 ACR655375:ACR655377 E655386:E655388 IZ655386:IZ655388 SV655386:SV655388 ACR655386:ACR655388 E655397:E655399 IZ655397:IZ655399 SV655397:SV655399 ACR655397:ACR655399 E655408:E655410 IZ655408:IZ655410 SV655408:SV655410 ACR655408:ACR655410 E720911:E720913 IZ720911:IZ720913 SV720911:SV720913 ACR720911:ACR720913 E720922:E720924 IZ720922:IZ720924 SV720922:SV720924 ACR720922:ACR720924 E720933:E720935 IZ720933:IZ720935 SV720933:SV720935 ACR720933:ACR720935 E720944:E720946 IZ720944:IZ720946 SV720944:SV720946 ACR720944:ACR720946 E786447:E786449 IZ786447:IZ786449 SV786447:SV786449 ACR786447:ACR786449 E786458:E786460 IZ786458:IZ786460 SV786458:SV786460 ACR786458:ACR786460 E786469:E786471 IZ786469:IZ786471 SV786469:SV786471 ACR786469:ACR786471 E786480:E786482 IZ786480:IZ786482 SV786480:SV786482 ACR786480:ACR786482 E851983:E851985 IZ851983:IZ851985 SV851983:SV851985 ACR851983:ACR851985 E851994:E851996 IZ851994:IZ851996 SV851994:SV851996 ACR851994:ACR851996 E852005:E852007 IZ852005:IZ852007 SV852005:SV852007 ACR852005:ACR852007 E852016:E852018 IZ852016:IZ852018 SV852016:SV852018 ACR852016:ACR852018 E917519:E917521 IZ917519:IZ917521 SV917519:SV917521 ACR917519:ACR917521 E917530:E917532 IZ917530:IZ917532 SV917530:SV917532 ACR917530:ACR917532 E917541:E917543 IZ917541:IZ917543 SV917541:SV917543 ACR917541:ACR917543 E917552:E917554 IZ917552:IZ917554 SV917552:SV917554 ACR917552:ACR917554 E983055:E983057 IZ983055:IZ983057 SV983055:SV983057 ACR983055:ACR983057 E983066:E983068 IZ983066:IZ983068 SV983066:SV983068 ACR983066:ACR983068 E983077:E983079 IZ983077:IZ983079 SV983077:SV983079 ACR983077:ACR983079 E983088:E983090 IZ983088:IZ983090 SV983088:SV983090 ACR983088:ACR983090 ACR50:ACR53 SV50:SV53 IZ50:IZ53 E50:E53" xr:uid="{C5D43322-6936-426F-9C67-1541A99A92DA}">
      <formula1>$D$19:$D$21</formula1>
    </dataValidation>
    <dataValidation type="list" allowBlank="1" showInputMessage="1" showErrorMessage="1" sqref="G65551:G65553 JB65551:JB65553 SX65551:SX65553 ACT65551:ACT65553 G65562:G65564 JB65562:JB65564 SX65562:SX65564 ACT65562:ACT65564 G65573:G65575 JB65573:JB65575 SX65573:SX65575 ACT65573:ACT65575 G65584:G65586 JB65584:JB65586 SX65584:SX65586 ACT65584:ACT65586 G131087:G131089 JB131087:JB131089 SX131087:SX131089 ACT131087:ACT131089 G131098:G131100 JB131098:JB131100 SX131098:SX131100 ACT131098:ACT131100 G131109:G131111 JB131109:JB131111 SX131109:SX131111 ACT131109:ACT131111 G131120:G131122 JB131120:JB131122 SX131120:SX131122 ACT131120:ACT131122 G196623:G196625 JB196623:JB196625 SX196623:SX196625 ACT196623:ACT196625 G196634:G196636 JB196634:JB196636 SX196634:SX196636 ACT196634:ACT196636 G196645:G196647 JB196645:JB196647 SX196645:SX196647 ACT196645:ACT196647 G196656:G196658 JB196656:JB196658 SX196656:SX196658 ACT196656:ACT196658 G262159:G262161 JB262159:JB262161 SX262159:SX262161 ACT262159:ACT262161 G262170:G262172 JB262170:JB262172 SX262170:SX262172 ACT262170:ACT262172 G262181:G262183 JB262181:JB262183 SX262181:SX262183 ACT262181:ACT262183 G262192:G262194 JB262192:JB262194 SX262192:SX262194 ACT262192:ACT262194 G327695:G327697 JB327695:JB327697 SX327695:SX327697 ACT327695:ACT327697 G327706:G327708 JB327706:JB327708 SX327706:SX327708 ACT327706:ACT327708 G327717:G327719 JB327717:JB327719 SX327717:SX327719 ACT327717:ACT327719 G327728:G327730 JB327728:JB327730 SX327728:SX327730 ACT327728:ACT327730 G393231:G393233 JB393231:JB393233 SX393231:SX393233 ACT393231:ACT393233 G393242:G393244 JB393242:JB393244 SX393242:SX393244 ACT393242:ACT393244 G393253:G393255 JB393253:JB393255 SX393253:SX393255 ACT393253:ACT393255 G393264:G393266 JB393264:JB393266 SX393264:SX393266 ACT393264:ACT393266 G458767:G458769 JB458767:JB458769 SX458767:SX458769 ACT458767:ACT458769 G458778:G458780 JB458778:JB458780 SX458778:SX458780 ACT458778:ACT458780 G458789:G458791 JB458789:JB458791 SX458789:SX458791 ACT458789:ACT458791 G458800:G458802 JB458800:JB458802 SX458800:SX458802 ACT458800:ACT458802 G524303:G524305 JB524303:JB524305 SX524303:SX524305 ACT524303:ACT524305 G524314:G524316 JB524314:JB524316 SX524314:SX524316 ACT524314:ACT524316 G524325:G524327 JB524325:JB524327 SX524325:SX524327 ACT524325:ACT524327 G524336:G524338 JB524336:JB524338 SX524336:SX524338 ACT524336:ACT524338 G589839:G589841 JB589839:JB589841 SX589839:SX589841 ACT589839:ACT589841 G589850:G589852 JB589850:JB589852 SX589850:SX589852 ACT589850:ACT589852 G589861:G589863 JB589861:JB589863 SX589861:SX589863 ACT589861:ACT589863 G589872:G589874 JB589872:JB589874 SX589872:SX589874 ACT589872:ACT589874 G655375:G655377 JB655375:JB655377 SX655375:SX655377 ACT655375:ACT655377 G655386:G655388 JB655386:JB655388 SX655386:SX655388 ACT655386:ACT655388 G655397:G655399 JB655397:JB655399 SX655397:SX655399 ACT655397:ACT655399 G655408:G655410 JB655408:JB655410 SX655408:SX655410 ACT655408:ACT655410 G720911:G720913 JB720911:JB720913 SX720911:SX720913 ACT720911:ACT720913 G720922:G720924 JB720922:JB720924 SX720922:SX720924 ACT720922:ACT720924 G720933:G720935 JB720933:JB720935 SX720933:SX720935 ACT720933:ACT720935 G720944:G720946 JB720944:JB720946 SX720944:SX720946 ACT720944:ACT720946 G786447:G786449 JB786447:JB786449 SX786447:SX786449 ACT786447:ACT786449 G786458:G786460 JB786458:JB786460 SX786458:SX786460 ACT786458:ACT786460 G786469:G786471 JB786469:JB786471 SX786469:SX786471 ACT786469:ACT786471 G786480:G786482 JB786480:JB786482 SX786480:SX786482 ACT786480:ACT786482 G851983:G851985 JB851983:JB851985 SX851983:SX851985 ACT851983:ACT851985 G851994:G851996 JB851994:JB851996 SX851994:SX851996 ACT851994:ACT851996 G852005:G852007 JB852005:JB852007 SX852005:SX852007 ACT852005:ACT852007 G852016:G852018 JB852016:JB852018 SX852016:SX852018 ACT852016:ACT852018 G917519:G917521 JB917519:JB917521 SX917519:SX917521 ACT917519:ACT917521 G917530:G917532 JB917530:JB917532 SX917530:SX917532 ACT917530:ACT917532 G917541:G917543 JB917541:JB917543 SX917541:SX917543 ACT917541:ACT917543 G917552:G917554 JB917552:JB917554 SX917552:SX917554 ACT917552:ACT917554 G983055:G983057 JB983055:JB983057 SX983055:SX983057 ACT983055:ACT983057 G983066:G983068 JB983066:JB983068 SX983066:SX983068 ACT983066:ACT983068 G983077:G983079 JB983077:JB983079 SX983077:SX983079 ACT983077:ACT983079 G983088:G983090 JB983088:JB983090 SX983088:SX983090 ACT983088:ACT983090 ACT50:ACT53 SX50:SX53 JB50:JB53 G50:G53" xr:uid="{AF6D401B-73A9-4B72-95B7-9BC9199707AC}">
      <formula1>$D$23:$D$26</formula1>
    </dataValidation>
    <dataValidation type="list" allowBlank="1" showInputMessage="1" showErrorMessage="1" sqref="H65547:I65547 JC65547:JD65547 SY65547:SZ65547 ACU65547:ACV65547 H65558:I65558 JC65558:JD65558 SY65558:SZ65558 ACU65558:ACV65558 H65569:I65569 JC65569:JD65569 SY65569:SZ65569 ACU65569:ACV65569 H65580:I65580 JC65580:JD65580 SY65580:SZ65580 ACU65580:ACV65580 H131083:I131083 JC131083:JD131083 SY131083:SZ131083 ACU131083:ACV131083 H131094:I131094 JC131094:JD131094 SY131094:SZ131094 ACU131094:ACV131094 H131105:I131105 JC131105:JD131105 SY131105:SZ131105 ACU131105:ACV131105 H131116:I131116 JC131116:JD131116 SY131116:SZ131116 ACU131116:ACV131116 H196619:I196619 JC196619:JD196619 SY196619:SZ196619 ACU196619:ACV196619 H196630:I196630 JC196630:JD196630 SY196630:SZ196630 ACU196630:ACV196630 H196641:I196641 JC196641:JD196641 SY196641:SZ196641 ACU196641:ACV196641 H196652:I196652 JC196652:JD196652 SY196652:SZ196652 ACU196652:ACV196652 H262155:I262155 JC262155:JD262155 SY262155:SZ262155 ACU262155:ACV262155 H262166:I262166 JC262166:JD262166 SY262166:SZ262166 ACU262166:ACV262166 H262177:I262177 JC262177:JD262177 SY262177:SZ262177 ACU262177:ACV262177 H262188:I262188 JC262188:JD262188 SY262188:SZ262188 ACU262188:ACV262188 H327691:I327691 JC327691:JD327691 SY327691:SZ327691 ACU327691:ACV327691 H327702:I327702 JC327702:JD327702 SY327702:SZ327702 ACU327702:ACV327702 H327713:I327713 JC327713:JD327713 SY327713:SZ327713 ACU327713:ACV327713 H327724:I327724 JC327724:JD327724 SY327724:SZ327724 ACU327724:ACV327724 H393227:I393227 JC393227:JD393227 SY393227:SZ393227 ACU393227:ACV393227 H393238:I393238 JC393238:JD393238 SY393238:SZ393238 ACU393238:ACV393238 H393249:I393249 JC393249:JD393249 SY393249:SZ393249 ACU393249:ACV393249 H393260:I393260 JC393260:JD393260 SY393260:SZ393260 ACU393260:ACV393260 H458763:I458763 JC458763:JD458763 SY458763:SZ458763 ACU458763:ACV458763 H458774:I458774 JC458774:JD458774 SY458774:SZ458774 ACU458774:ACV458774 H458785:I458785 JC458785:JD458785 SY458785:SZ458785 ACU458785:ACV458785 H458796:I458796 JC458796:JD458796 SY458796:SZ458796 ACU458796:ACV458796 H524299:I524299 JC524299:JD524299 SY524299:SZ524299 ACU524299:ACV524299 H524310:I524310 JC524310:JD524310 SY524310:SZ524310 ACU524310:ACV524310 H524321:I524321 JC524321:JD524321 SY524321:SZ524321 ACU524321:ACV524321 H524332:I524332 JC524332:JD524332 SY524332:SZ524332 ACU524332:ACV524332 H589835:I589835 JC589835:JD589835 SY589835:SZ589835 ACU589835:ACV589835 H589846:I589846 JC589846:JD589846 SY589846:SZ589846 ACU589846:ACV589846 H589857:I589857 JC589857:JD589857 SY589857:SZ589857 ACU589857:ACV589857 H589868:I589868 JC589868:JD589868 SY589868:SZ589868 ACU589868:ACV589868 H655371:I655371 JC655371:JD655371 SY655371:SZ655371 ACU655371:ACV655371 H655382:I655382 JC655382:JD655382 SY655382:SZ655382 ACU655382:ACV655382 H655393:I655393 JC655393:JD655393 SY655393:SZ655393 ACU655393:ACV655393 H655404:I655404 JC655404:JD655404 SY655404:SZ655404 ACU655404:ACV655404 H720907:I720907 JC720907:JD720907 SY720907:SZ720907 ACU720907:ACV720907 H720918:I720918 JC720918:JD720918 SY720918:SZ720918 ACU720918:ACV720918 H720929:I720929 JC720929:JD720929 SY720929:SZ720929 ACU720929:ACV720929 H720940:I720940 JC720940:JD720940 SY720940:SZ720940 ACU720940:ACV720940 H786443:I786443 JC786443:JD786443 SY786443:SZ786443 ACU786443:ACV786443 H786454:I786454 JC786454:JD786454 SY786454:SZ786454 ACU786454:ACV786454 H786465:I786465 JC786465:JD786465 SY786465:SZ786465 ACU786465:ACV786465 H786476:I786476 JC786476:JD786476 SY786476:SZ786476 ACU786476:ACV786476 H851979:I851979 JC851979:JD851979 SY851979:SZ851979 ACU851979:ACV851979 H851990:I851990 JC851990:JD851990 SY851990:SZ851990 ACU851990:ACV851990 H852001:I852001 JC852001:JD852001 SY852001:SZ852001 ACU852001:ACV852001 H852012:I852012 JC852012:JD852012 SY852012:SZ852012 ACU852012:ACV852012 H917515:I917515 JC917515:JD917515 SY917515:SZ917515 ACU917515:ACV917515 H917526:I917526 JC917526:JD917526 SY917526:SZ917526 ACU917526:ACV917526 H917537:I917537 JC917537:JD917537 SY917537:SZ917537 ACU917537:ACV917537 H917548:I917548 JC917548:JD917548 SY917548:SZ917548 ACU917548:ACV917548 H983051:I983051 JC983051:JD983051 SY983051:SZ983051 ACU983051:ACV983051 H983062:I983062 JC983062:JD983062 SY983062:SZ983062 ACU983062:ACV983062 H983073:I983073 JC983073:JD983073 SY983073:SZ983073 ACU983073:ACV983073 H983084:I983084 JC983084:JD983084 SY983084:SZ983084 ACU983084:ACV983084" xr:uid="{D58E6EB0-2A2A-4F13-BD8B-1EDFCCF286EF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7CC-49D1-41E6-88FF-D333F1DE112D}">
  <dimension ref="A1:AMJ27"/>
  <sheetViews>
    <sheetView workbookViewId="0">
      <selection sqref="A1:N1"/>
    </sheetView>
  </sheetViews>
  <sheetFormatPr defaultRowHeight="14.4" x14ac:dyDescent="0.3"/>
  <cols>
    <col min="1" max="1" width="14.09765625" style="1" customWidth="1"/>
    <col min="2" max="2" width="11.69921875" style="1" customWidth="1"/>
    <col min="3" max="3" width="0.8984375" style="1" customWidth="1"/>
    <col min="4" max="4" width="28.09765625" style="1" customWidth="1"/>
    <col min="5" max="5" width="11.69921875" style="1" customWidth="1"/>
    <col min="6" max="6" width="1.09765625" style="1" customWidth="1"/>
    <col min="7" max="7" width="12.3984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984375" style="1" customWidth="1"/>
    <col min="13" max="13" width="37.3984375" style="1" customWidth="1"/>
    <col min="14" max="14" width="10" style="1" customWidth="1"/>
    <col min="15" max="1024" width="8.09765625" style="1" customWidth="1"/>
    <col min="1025" max="1025" width="9" customWidth="1"/>
  </cols>
  <sheetData>
    <row r="1" spans="1:23" s="53" customFormat="1" ht="21" customHeight="1" x14ac:dyDescent="0.4">
      <c r="A1" s="150" t="s">
        <v>143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23" s="69" customFormat="1" ht="12.75" customHeight="1" x14ac:dyDescent="0.25">
      <c r="A2" s="151" t="s">
        <v>127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</row>
    <row r="3" spans="1:23" s="69" customFormat="1" ht="15" customHeight="1" x14ac:dyDescent="0.25">
      <c r="A3" s="152" t="s">
        <v>144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23" s="69" customFormat="1" ht="15" customHeight="1" x14ac:dyDescent="0.25">
      <c r="A4" s="153" t="s">
        <v>145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</row>
    <row r="5" spans="1:23" s="69" customFormat="1" ht="15.75" customHeight="1" x14ac:dyDescent="0.25">
      <c r="A5" s="154" t="s">
        <v>146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</row>
    <row r="6" spans="1:23" s="4" customFormat="1" ht="20.25" customHeight="1" x14ac:dyDescent="0.25"/>
    <row r="7" spans="1:23" s="4" customFormat="1" ht="12" customHeight="1" x14ac:dyDescent="0.25">
      <c r="A7" s="148" t="s">
        <v>147</v>
      </c>
      <c r="B7" s="148"/>
      <c r="D7" s="148" t="s">
        <v>148</v>
      </c>
      <c r="E7" s="148"/>
      <c r="G7" s="148" t="s">
        <v>149</v>
      </c>
      <c r="H7" s="148"/>
      <c r="I7" s="148"/>
      <c r="J7" s="148"/>
      <c r="K7" s="148"/>
      <c r="M7" s="148" t="s">
        <v>150</v>
      </c>
      <c r="N7" s="148"/>
    </row>
    <row r="8" spans="1:23" s="4" customFormat="1" ht="17.25" customHeight="1" x14ac:dyDescent="0.25">
      <c r="A8" s="72" t="s">
        <v>151</v>
      </c>
      <c r="B8" s="73" t="s">
        <v>152</v>
      </c>
      <c r="D8" s="72" t="s">
        <v>153</v>
      </c>
      <c r="E8" s="73" t="s">
        <v>152</v>
      </c>
      <c r="G8" s="72" t="s">
        <v>154</v>
      </c>
      <c r="H8" s="72" t="s">
        <v>155</v>
      </c>
      <c r="I8" s="72" t="s">
        <v>103</v>
      </c>
      <c r="J8" s="73" t="s">
        <v>156</v>
      </c>
      <c r="K8" s="73" t="s">
        <v>157</v>
      </c>
      <c r="M8" s="73" t="s">
        <v>158</v>
      </c>
      <c r="N8" s="73" t="s">
        <v>159</v>
      </c>
    </row>
    <row r="9" spans="1:23" s="4" customFormat="1" ht="12" x14ac:dyDescent="0.25">
      <c r="A9" s="70" t="s">
        <v>160</v>
      </c>
      <c r="B9" s="71" t="s">
        <v>155</v>
      </c>
      <c r="D9" s="70" t="s">
        <v>161</v>
      </c>
      <c r="E9" s="71" t="s">
        <v>155</v>
      </c>
      <c r="G9" s="72" t="s">
        <v>162</v>
      </c>
      <c r="H9" s="70">
        <v>2</v>
      </c>
      <c r="I9" s="70">
        <v>0</v>
      </c>
      <c r="J9" s="70">
        <v>0</v>
      </c>
      <c r="K9" s="73">
        <f>(H9*4)+(I9*6)+(J9*8)</f>
        <v>8</v>
      </c>
      <c r="M9" s="74" t="s">
        <v>163</v>
      </c>
      <c r="N9" s="75"/>
    </row>
    <row r="10" spans="1:23" s="4" customFormat="1" ht="12" x14ac:dyDescent="0.25">
      <c r="A10" s="70" t="s">
        <v>164</v>
      </c>
      <c r="B10" s="71" t="s">
        <v>155</v>
      </c>
      <c r="D10" s="70"/>
      <c r="E10" s="71"/>
      <c r="G10" s="72" t="s">
        <v>165</v>
      </c>
      <c r="H10" s="70"/>
      <c r="I10" s="70"/>
      <c r="J10" s="70"/>
      <c r="K10" s="73">
        <f>(H10*3)+(I10*4)+(J10*6)</f>
        <v>0</v>
      </c>
      <c r="M10" s="74" t="s">
        <v>166</v>
      </c>
      <c r="N10" s="75"/>
    </row>
    <row r="11" spans="1:23" s="4" customFormat="1" ht="12" customHeight="1" x14ac:dyDescent="0.25">
      <c r="A11" s="70"/>
      <c r="B11" s="71"/>
      <c r="D11" s="70"/>
      <c r="E11" s="71"/>
      <c r="G11" s="148" t="s">
        <v>167</v>
      </c>
      <c r="H11" s="148"/>
      <c r="I11" s="148"/>
      <c r="J11" s="148"/>
      <c r="K11" s="148"/>
      <c r="M11" s="74" t="s">
        <v>168</v>
      </c>
      <c r="N11" s="75"/>
    </row>
    <row r="12" spans="1:23" s="4" customFormat="1" ht="12" x14ac:dyDescent="0.25">
      <c r="A12" s="70"/>
      <c r="B12" s="71"/>
      <c r="D12" s="70"/>
      <c r="E12" s="71"/>
      <c r="G12" s="72" t="s">
        <v>154</v>
      </c>
      <c r="H12" s="72" t="s">
        <v>155</v>
      </c>
      <c r="I12" s="72" t="s">
        <v>103</v>
      </c>
      <c r="J12" s="73" t="s">
        <v>156</v>
      </c>
      <c r="K12" s="73" t="s">
        <v>157</v>
      </c>
      <c r="M12" s="74" t="s">
        <v>169</v>
      </c>
      <c r="N12" s="75"/>
    </row>
    <row r="13" spans="1:23" s="4" customFormat="1" ht="12" x14ac:dyDescent="0.25">
      <c r="A13" s="70"/>
      <c r="B13" s="71"/>
      <c r="D13" s="70"/>
      <c r="E13" s="71"/>
      <c r="G13" s="72" t="s">
        <v>170</v>
      </c>
      <c r="H13" s="70">
        <v>1</v>
      </c>
      <c r="I13" s="70"/>
      <c r="J13" s="70"/>
      <c r="K13" s="73">
        <f>(H13*3)+(I13*4)+(J13*6)</f>
        <v>3</v>
      </c>
      <c r="M13" s="74" t="s">
        <v>171</v>
      </c>
      <c r="N13" s="75"/>
      <c r="W13" s="4" t="s">
        <v>172</v>
      </c>
    </row>
    <row r="14" spans="1:23" s="4" customFormat="1" ht="12" x14ac:dyDescent="0.25">
      <c r="A14" s="70"/>
      <c r="B14" s="71"/>
      <c r="D14" s="70"/>
      <c r="E14" s="71"/>
      <c r="G14" s="72" t="s">
        <v>173</v>
      </c>
      <c r="H14" s="70"/>
      <c r="I14" s="70"/>
      <c r="J14" s="70"/>
      <c r="K14" s="73">
        <f>(H14*4)+(I14*5)+(J14*7)</f>
        <v>0</v>
      </c>
      <c r="M14" s="74" t="s">
        <v>174</v>
      </c>
      <c r="N14" s="75"/>
    </row>
    <row r="15" spans="1:23" s="4" customFormat="1" ht="12" x14ac:dyDescent="0.25">
      <c r="A15" s="70"/>
      <c r="B15" s="71"/>
      <c r="D15" s="70"/>
      <c r="E15" s="71"/>
      <c r="G15" s="72" t="s">
        <v>175</v>
      </c>
      <c r="H15" s="70">
        <v>1</v>
      </c>
      <c r="I15" s="70"/>
      <c r="J15" s="70"/>
      <c r="K15" s="73">
        <f>(H15*3)+(I15*4)+(J15*6)</f>
        <v>3</v>
      </c>
      <c r="M15" s="74" t="s">
        <v>176</v>
      </c>
      <c r="N15" s="75"/>
    </row>
    <row r="16" spans="1:23" s="4" customFormat="1" ht="12" customHeight="1" x14ac:dyDescent="0.25">
      <c r="A16" s="70"/>
      <c r="B16" s="71"/>
      <c r="D16" s="70"/>
      <c r="E16" s="71"/>
      <c r="G16" s="149" t="s">
        <v>177</v>
      </c>
      <c r="H16" s="149"/>
      <c r="I16" s="149"/>
      <c r="J16" s="149"/>
      <c r="K16" s="76">
        <f>SUM(K9,K10,K13,K14,K15)</f>
        <v>14</v>
      </c>
      <c r="M16" s="74" t="s">
        <v>178</v>
      </c>
      <c r="N16" s="75"/>
    </row>
    <row r="17" spans="1:14" s="4" customFormat="1" ht="12" x14ac:dyDescent="0.25">
      <c r="A17" s="70"/>
      <c r="B17" s="71"/>
      <c r="D17" s="70"/>
      <c r="E17" s="71"/>
      <c r="M17" s="74" t="s">
        <v>179</v>
      </c>
      <c r="N17" s="75"/>
    </row>
    <row r="18" spans="1:14" s="4" customFormat="1" ht="12" x14ac:dyDescent="0.25">
      <c r="A18" s="70"/>
      <c r="B18" s="71"/>
      <c r="D18" s="70"/>
      <c r="E18" s="71"/>
      <c r="M18" s="74" t="s">
        <v>180</v>
      </c>
      <c r="N18" s="75"/>
    </row>
    <row r="19" spans="1:14" s="4" customFormat="1" ht="12" x14ac:dyDescent="0.25">
      <c r="A19" s="70"/>
      <c r="B19" s="71"/>
      <c r="D19" s="70"/>
      <c r="E19" s="71"/>
      <c r="M19" s="74" t="s">
        <v>181</v>
      </c>
      <c r="N19" s="75"/>
    </row>
    <row r="20" spans="1:14" s="4" customFormat="1" ht="12" x14ac:dyDescent="0.25">
      <c r="A20" s="70"/>
      <c r="B20" s="71"/>
      <c r="D20" s="70"/>
      <c r="E20" s="71"/>
      <c r="M20" s="74" t="s">
        <v>182</v>
      </c>
      <c r="N20" s="75"/>
    </row>
    <row r="21" spans="1:14" s="4" customFormat="1" ht="12" x14ac:dyDescent="0.25">
      <c r="M21" s="74" t="s">
        <v>183</v>
      </c>
      <c r="N21" s="75"/>
    </row>
    <row r="22" spans="1:14" s="4" customFormat="1" ht="12" x14ac:dyDescent="0.25">
      <c r="M22" s="74" t="s">
        <v>184</v>
      </c>
      <c r="N22" s="75"/>
    </row>
    <row r="23" spans="1:14" s="4" customFormat="1" ht="12" x14ac:dyDescent="0.25">
      <c r="M23" s="77" t="s">
        <v>185</v>
      </c>
      <c r="N23" s="78">
        <f>SUM(N9:N22)</f>
        <v>0</v>
      </c>
    </row>
    <row r="24" spans="1:14" x14ac:dyDescent="0.3">
      <c r="M24" s="77" t="s">
        <v>186</v>
      </c>
      <c r="N24" s="76">
        <f>(N23*0.01)+0.65</f>
        <v>0.65</v>
      </c>
    </row>
    <row r="25" spans="1:14" x14ac:dyDescent="0.3">
      <c r="M25" s="77" t="s">
        <v>187</v>
      </c>
      <c r="N25" s="79">
        <f>K16*N24</f>
        <v>9.1</v>
      </c>
    </row>
    <row r="26" spans="1:14" x14ac:dyDescent="0.3">
      <c r="M26" s="77" t="s">
        <v>188</v>
      </c>
      <c r="N26" s="80">
        <v>19</v>
      </c>
    </row>
    <row r="27" spans="1:14" ht="21" x14ac:dyDescent="0.3">
      <c r="M27" s="81" t="s">
        <v>189</v>
      </c>
      <c r="N27" s="82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43861AF8-0AED-43E0-916A-2478B1A9E98C}">
      <formula1>"Simples,Média,Complexa"</formula1>
    </dataValidation>
    <dataValidation type="list" allowBlank="1" showInputMessage="1" showErrorMessage="1" sqref="N9:N22" xr:uid="{6F1B76B0-6F5C-4E60-AA0D-BC44F5C03AA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43A-5794-4661-ACA8-D26510321904}">
  <dimension ref="A1:AMJ29"/>
  <sheetViews>
    <sheetView workbookViewId="0">
      <selection sqref="A1:N1"/>
    </sheetView>
  </sheetViews>
  <sheetFormatPr defaultRowHeight="14.4" x14ac:dyDescent="0.3"/>
  <cols>
    <col min="1" max="1" width="45.5" style="1" customWidth="1"/>
    <col min="2" max="2" width="12.59765625" style="22" customWidth="1"/>
    <col min="3" max="3" width="12.69921875" style="1" customWidth="1"/>
    <col min="4" max="4" width="1.09765625" style="1" customWidth="1"/>
    <col min="5" max="5" width="24.8984375" style="1" customWidth="1"/>
    <col min="6" max="6" width="6.69921875" style="1" customWidth="1"/>
    <col min="7" max="7" width="7" style="1" customWidth="1"/>
    <col min="8" max="8" width="6.5" style="1" customWidth="1"/>
    <col min="9" max="9" width="7" style="1" customWidth="1"/>
    <col min="10" max="10" width="10.09765625" style="1" customWidth="1"/>
    <col min="11" max="11" width="7" style="1" customWidth="1"/>
    <col min="12" max="12" width="7.59765625" style="1" customWidth="1"/>
    <col min="13" max="13" width="7" style="1" customWidth="1"/>
    <col min="14" max="14" width="19.09765625" style="1" customWidth="1"/>
    <col min="15" max="1024" width="8.09765625" style="1" customWidth="1"/>
    <col min="1025" max="1025" width="9" customWidth="1"/>
  </cols>
  <sheetData>
    <row r="1" spans="1:14" ht="21" x14ac:dyDescent="0.4">
      <c r="A1" s="150" t="s">
        <v>48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4" ht="7.5" customHeight="1" x14ac:dyDescent="0.3"/>
    <row r="3" spans="1:14" ht="18" x14ac:dyDescent="0.35">
      <c r="A3" s="156" t="s">
        <v>49</v>
      </c>
      <c r="B3" s="156"/>
      <c r="C3" s="156"/>
      <c r="E3" s="156" t="s">
        <v>190</v>
      </c>
      <c r="F3" s="156"/>
      <c r="G3" s="156"/>
      <c r="H3" s="156"/>
      <c r="I3" s="156"/>
      <c r="J3" s="156"/>
      <c r="K3" s="156"/>
      <c r="L3" s="156"/>
      <c r="M3" s="156"/>
      <c r="N3" s="156"/>
    </row>
    <row r="4" spans="1:14" x14ac:dyDescent="0.3">
      <c r="A4" s="83" t="s">
        <v>191</v>
      </c>
      <c r="B4" s="84">
        <f>'#Estimativa-APF#'!$N$27</f>
        <v>172.9</v>
      </c>
      <c r="C4" s="27" t="s">
        <v>51</v>
      </c>
      <c r="E4" s="157" t="s">
        <v>192</v>
      </c>
      <c r="F4" s="155" t="s">
        <v>16</v>
      </c>
      <c r="G4" s="155"/>
      <c r="H4" s="155" t="s">
        <v>30</v>
      </c>
      <c r="I4" s="155"/>
      <c r="J4" s="155" t="s">
        <v>39</v>
      </c>
      <c r="K4" s="155"/>
      <c r="L4" s="155" t="s">
        <v>40</v>
      </c>
      <c r="M4" s="155"/>
      <c r="N4" s="85"/>
    </row>
    <row r="5" spans="1:14" ht="18" x14ac:dyDescent="0.35">
      <c r="A5" s="25" t="s">
        <v>52</v>
      </c>
      <c r="B5" s="26">
        <v>0</v>
      </c>
      <c r="C5" s="35" t="s">
        <v>193</v>
      </c>
      <c r="E5" s="157"/>
      <c r="F5" s="155" t="s">
        <v>17</v>
      </c>
      <c r="G5" s="155"/>
      <c r="H5" s="155" t="s">
        <v>17</v>
      </c>
      <c r="I5" s="155"/>
      <c r="J5" s="155" t="s">
        <v>17</v>
      </c>
      <c r="K5" s="155"/>
      <c r="L5" s="155" t="s">
        <v>17</v>
      </c>
      <c r="M5" s="155"/>
      <c r="N5" s="38" t="s">
        <v>194</v>
      </c>
    </row>
    <row r="6" spans="1:14" x14ac:dyDescent="0.3">
      <c r="A6" s="86" t="s">
        <v>195</v>
      </c>
      <c r="B6" s="87">
        <f>B4+(B4*B5)</f>
        <v>172.9</v>
      </c>
      <c r="C6" s="35" t="s">
        <v>51</v>
      </c>
      <c r="E6" s="157"/>
      <c r="F6" s="88">
        <f>B6*G6</f>
        <v>8.6450000000000014</v>
      </c>
      <c r="G6" s="89">
        <v>0.05</v>
      </c>
      <c r="H6" s="88">
        <f>B4*I6</f>
        <v>34.580000000000005</v>
      </c>
      <c r="I6" s="89">
        <v>0.2</v>
      </c>
      <c r="J6" s="88">
        <f>B4*K6</f>
        <v>112.38500000000001</v>
      </c>
      <c r="K6" s="89">
        <v>0.65</v>
      </c>
      <c r="L6" s="88">
        <f>B4*M6</f>
        <v>17.290000000000003</v>
      </c>
      <c r="M6" s="89">
        <v>0.1</v>
      </c>
      <c r="N6" s="88"/>
    </row>
    <row r="7" spans="1:14" ht="15.6" x14ac:dyDescent="0.3">
      <c r="A7" s="27" t="s">
        <v>196</v>
      </c>
      <c r="B7" s="28">
        <v>1</v>
      </c>
      <c r="C7" s="27"/>
      <c r="E7" s="90" t="s">
        <v>197</v>
      </c>
      <c r="F7" s="88">
        <f>F6*G7</f>
        <v>4.7547500000000014</v>
      </c>
      <c r="G7" s="89">
        <v>0.55000000000000004</v>
      </c>
      <c r="H7" s="88">
        <f>H6*I7</f>
        <v>10.374000000000001</v>
      </c>
      <c r="I7" s="89">
        <v>0.3</v>
      </c>
      <c r="J7" s="88">
        <f>J6*K7</f>
        <v>13.4862</v>
      </c>
      <c r="K7" s="89">
        <v>0.12</v>
      </c>
      <c r="L7" s="88">
        <f>L6*M7</f>
        <v>0.86450000000000016</v>
      </c>
      <c r="M7" s="89">
        <v>0.05</v>
      </c>
      <c r="N7" s="91">
        <f>SUM(F7,H7,J7,L7)</f>
        <v>29.47945</v>
      </c>
    </row>
    <row r="8" spans="1:14" ht="15.6" x14ac:dyDescent="0.3">
      <c r="A8" s="27" t="s">
        <v>198</v>
      </c>
      <c r="B8" s="28">
        <v>40</v>
      </c>
      <c r="C8" s="27" t="s">
        <v>199</v>
      </c>
      <c r="E8" s="90" t="s">
        <v>200</v>
      </c>
      <c r="F8" s="88">
        <f>F6*G8</f>
        <v>1.2967500000000001</v>
      </c>
      <c r="G8" s="89">
        <v>0.15</v>
      </c>
      <c r="H8" s="88">
        <f>H6*I8</f>
        <v>6.9160000000000013</v>
      </c>
      <c r="I8" s="89">
        <v>0.2</v>
      </c>
      <c r="J8" s="88">
        <f>J6*K8</f>
        <v>11.238500000000002</v>
      </c>
      <c r="K8" s="89">
        <v>0.1</v>
      </c>
      <c r="L8" s="88">
        <f>L6*M8</f>
        <v>0.86450000000000016</v>
      </c>
      <c r="M8" s="89">
        <v>0.05</v>
      </c>
      <c r="N8" s="91">
        <f>SUM(F8,H8,J8,L8)</f>
        <v>20.315750000000001</v>
      </c>
    </row>
    <row r="9" spans="1:14" ht="15.6" x14ac:dyDescent="0.3">
      <c r="A9" s="27" t="s">
        <v>201</v>
      </c>
      <c r="B9" s="28">
        <v>2</v>
      </c>
      <c r="C9" s="27" t="s">
        <v>62</v>
      </c>
      <c r="E9" s="90" t="s">
        <v>202</v>
      </c>
      <c r="F9" s="88">
        <f>F6*G9</f>
        <v>0.17290000000000003</v>
      </c>
      <c r="G9" s="89">
        <v>0.02</v>
      </c>
      <c r="H9" s="88">
        <f>H6*I9</f>
        <v>6.9160000000000013</v>
      </c>
      <c r="I9" s="89">
        <v>0.2</v>
      </c>
      <c r="J9" s="88">
        <f>J6*K9</f>
        <v>44.954000000000008</v>
      </c>
      <c r="K9" s="89">
        <v>0.4</v>
      </c>
      <c r="L9" s="88">
        <f>L6*M9</f>
        <v>2.5935000000000001</v>
      </c>
      <c r="M9" s="89">
        <v>0.15</v>
      </c>
      <c r="N9" s="91">
        <f>SUM(F9,H9,J9,L9)</f>
        <v>54.636400000000009</v>
      </c>
    </row>
    <row r="10" spans="1:14" ht="15.6" x14ac:dyDescent="0.3">
      <c r="A10" s="92" t="s">
        <v>203</v>
      </c>
      <c r="B10" s="93">
        <f>(B7*B8)*B9</f>
        <v>80</v>
      </c>
      <c r="C10" s="92" t="s">
        <v>51</v>
      </c>
      <c r="E10" s="90" t="s">
        <v>204</v>
      </c>
      <c r="F10" s="88">
        <f>F6*G10</f>
        <v>0.43225000000000008</v>
      </c>
      <c r="G10" s="89">
        <v>0.05</v>
      </c>
      <c r="H10" s="88">
        <f>H6*I10</f>
        <v>2.7664000000000004</v>
      </c>
      <c r="I10" s="89">
        <v>0.08</v>
      </c>
      <c r="J10" s="88">
        <f>J6*K10</f>
        <v>11.238500000000002</v>
      </c>
      <c r="K10" s="89">
        <v>0.1</v>
      </c>
      <c r="L10" s="88">
        <f>L6*M10</f>
        <v>1.7290000000000003</v>
      </c>
      <c r="M10" s="89">
        <v>0.1</v>
      </c>
      <c r="N10" s="91">
        <f>SUM(F10,H10,J10,L10)</f>
        <v>16.166150000000002</v>
      </c>
    </row>
    <row r="11" spans="1:14" ht="15.6" x14ac:dyDescent="0.3">
      <c r="A11" s="83" t="s">
        <v>205</v>
      </c>
      <c r="B11" s="94">
        <f>B6/B10*2</f>
        <v>4.3224999999999998</v>
      </c>
      <c r="C11" s="83" t="s">
        <v>62</v>
      </c>
      <c r="E11" s="90" t="s">
        <v>206</v>
      </c>
      <c r="F11" s="88">
        <f>F6*G11</f>
        <v>0</v>
      </c>
      <c r="G11" s="89">
        <v>0</v>
      </c>
      <c r="H11" s="88">
        <f>H6*I11</f>
        <v>0.6916000000000001</v>
      </c>
      <c r="I11" s="89">
        <v>0.02</v>
      </c>
      <c r="J11" s="88">
        <f>J6*K11</f>
        <v>5.619250000000001</v>
      </c>
      <c r="K11" s="89">
        <v>0.05</v>
      </c>
      <c r="L11" s="88">
        <f>L6*M11</f>
        <v>1.7290000000000003</v>
      </c>
      <c r="M11" s="89">
        <v>0.1</v>
      </c>
      <c r="N11" s="91">
        <f>SUM(F11,H11,J11,L11)</f>
        <v>8.0398500000000013</v>
      </c>
    </row>
    <row r="12" spans="1:14" x14ac:dyDescent="0.3">
      <c r="A12" s="83" t="s">
        <v>207</v>
      </c>
      <c r="B12" s="94">
        <f>B11/4</f>
        <v>1.0806249999999999</v>
      </c>
      <c r="C12" s="83" t="s">
        <v>64</v>
      </c>
      <c r="E12" s="95" t="s">
        <v>208</v>
      </c>
      <c r="F12" s="96">
        <f t="shared" ref="F12:M12" si="0">SUM(F7:F11)</f>
        <v>6.6566500000000017</v>
      </c>
      <c r="G12" s="97">
        <f t="shared" si="0"/>
        <v>0.77000000000000013</v>
      </c>
      <c r="H12" s="96">
        <f t="shared" si="0"/>
        <v>27.664000000000005</v>
      </c>
      <c r="I12" s="97">
        <f t="shared" si="0"/>
        <v>0.79999999999999993</v>
      </c>
      <c r="J12" s="96">
        <f t="shared" si="0"/>
        <v>86.536450000000002</v>
      </c>
      <c r="K12" s="97">
        <f t="shared" si="0"/>
        <v>0.77</v>
      </c>
      <c r="L12" s="96">
        <f t="shared" si="0"/>
        <v>7.7805000000000009</v>
      </c>
      <c r="M12" s="97">
        <f t="shared" si="0"/>
        <v>0.44999999999999996</v>
      </c>
      <c r="N12" s="95"/>
    </row>
    <row r="13" spans="1:14" ht="15.6" x14ac:dyDescent="0.3">
      <c r="A13" s="92" t="s">
        <v>209</v>
      </c>
      <c r="B13" s="98">
        <f>B11/B9</f>
        <v>2.1612499999999999</v>
      </c>
      <c r="C13" s="92" t="s">
        <v>210</v>
      </c>
      <c r="E13" s="90" t="s">
        <v>211</v>
      </c>
      <c r="F13" s="88">
        <f>F6*G13</f>
        <v>0.25935000000000002</v>
      </c>
      <c r="G13" s="89">
        <v>0.03</v>
      </c>
      <c r="H13" s="88">
        <f>H6*I13</f>
        <v>2.7664000000000004</v>
      </c>
      <c r="I13" s="89">
        <v>0.08</v>
      </c>
      <c r="J13" s="88">
        <f>J6*K13</f>
        <v>14.610050000000001</v>
      </c>
      <c r="K13" s="89">
        <v>0.13</v>
      </c>
      <c r="L13" s="88">
        <f>L6*M13</f>
        <v>5.1870000000000003</v>
      </c>
      <c r="M13" s="89">
        <v>0.3</v>
      </c>
      <c r="N13" s="91">
        <f>SUM(F13,H13,J13,L13)</f>
        <v>22.822800000000004</v>
      </c>
    </row>
    <row r="14" spans="1:14" ht="15.6" x14ac:dyDescent="0.3">
      <c r="E14" s="90" t="s">
        <v>212</v>
      </c>
      <c r="F14" s="88">
        <f>F6*G14</f>
        <v>1.7290000000000003</v>
      </c>
      <c r="G14" s="89">
        <v>0.2</v>
      </c>
      <c r="H14" s="88">
        <f>H6*I14</f>
        <v>4.1496000000000004</v>
      </c>
      <c r="I14" s="89">
        <v>0.12</v>
      </c>
      <c r="J14" s="88">
        <f>J6*K14</f>
        <v>11.238500000000002</v>
      </c>
      <c r="K14" s="89">
        <v>0.1</v>
      </c>
      <c r="L14" s="88">
        <f>L6*M14</f>
        <v>4.3225000000000007</v>
      </c>
      <c r="M14" s="89">
        <v>0.25</v>
      </c>
      <c r="N14" s="91">
        <f>SUM(F14,H14,J14,L14)</f>
        <v>21.439600000000002</v>
      </c>
    </row>
    <row r="15" spans="1:14" x14ac:dyDescent="0.3">
      <c r="E15" s="95" t="s">
        <v>213</v>
      </c>
      <c r="F15" s="96">
        <f t="shared" ref="F15:M15" si="1">SUM(F13:F14)</f>
        <v>1.9883500000000003</v>
      </c>
      <c r="G15" s="97">
        <f t="shared" si="1"/>
        <v>0.23</v>
      </c>
      <c r="H15" s="96">
        <f t="shared" si="1"/>
        <v>6.9160000000000004</v>
      </c>
      <c r="I15" s="97">
        <f t="shared" si="1"/>
        <v>0.2</v>
      </c>
      <c r="J15" s="96">
        <f t="shared" si="1"/>
        <v>25.848550000000003</v>
      </c>
      <c r="K15" s="97">
        <f t="shared" si="1"/>
        <v>0.23</v>
      </c>
      <c r="L15" s="96">
        <f t="shared" si="1"/>
        <v>9.509500000000001</v>
      </c>
      <c r="M15" s="97">
        <f t="shared" si="1"/>
        <v>0.55000000000000004</v>
      </c>
      <c r="N15" s="95"/>
    </row>
    <row r="16" spans="1:14" ht="18" x14ac:dyDescent="0.35">
      <c r="A16" s="156" t="s">
        <v>65</v>
      </c>
      <c r="B16" s="156"/>
      <c r="C16" s="156"/>
      <c r="E16" s="38" t="s">
        <v>214</v>
      </c>
      <c r="F16" s="99">
        <f t="shared" ref="F16:M16" si="2">F12+F15</f>
        <v>8.6450000000000014</v>
      </c>
      <c r="G16" s="100">
        <f t="shared" si="2"/>
        <v>1.0000000000000002</v>
      </c>
      <c r="H16" s="99">
        <f t="shared" si="2"/>
        <v>34.580000000000005</v>
      </c>
      <c r="I16" s="100">
        <f t="shared" si="2"/>
        <v>1</v>
      </c>
      <c r="J16" s="99">
        <f t="shared" si="2"/>
        <v>112.38500000000001</v>
      </c>
      <c r="K16" s="100">
        <f t="shared" si="2"/>
        <v>1</v>
      </c>
      <c r="L16" s="99">
        <f t="shared" si="2"/>
        <v>17.290000000000003</v>
      </c>
      <c r="M16" s="100">
        <f t="shared" si="2"/>
        <v>1</v>
      </c>
      <c r="N16" s="101">
        <f>SUM(N7:N11,N13,N14)</f>
        <v>172.90000000000003</v>
      </c>
    </row>
    <row r="17" spans="1:14" x14ac:dyDescent="0.3">
      <c r="A17" s="27" t="s">
        <v>66</v>
      </c>
      <c r="B17" s="102">
        <v>20</v>
      </c>
      <c r="C17" s="35"/>
      <c r="N17" s="51"/>
    </row>
    <row r="18" spans="1:14" x14ac:dyDescent="0.3">
      <c r="A18" s="27" t="s">
        <v>67</v>
      </c>
      <c r="B18" s="36">
        <f>B6*B17</f>
        <v>3458</v>
      </c>
      <c r="C18" s="35"/>
      <c r="L18" s="51"/>
      <c r="N18" s="51"/>
    </row>
    <row r="19" spans="1:14" x14ac:dyDescent="0.3">
      <c r="A19" s="27" t="s">
        <v>68</v>
      </c>
      <c r="B19" s="26">
        <v>0</v>
      </c>
      <c r="C19" s="35"/>
      <c r="N19" s="51"/>
    </row>
    <row r="20" spans="1:14" x14ac:dyDescent="0.3">
      <c r="A20" s="27" t="s">
        <v>69</v>
      </c>
      <c r="B20" s="37">
        <f>B18*B19</f>
        <v>0</v>
      </c>
      <c r="C20" s="35"/>
      <c r="L20" s="51"/>
      <c r="N20" s="51"/>
    </row>
    <row r="21" spans="1:14" ht="15.6" x14ac:dyDescent="0.3">
      <c r="A21" s="23" t="s">
        <v>215</v>
      </c>
      <c r="B21" s="103">
        <f>B18+B20</f>
        <v>3458</v>
      </c>
      <c r="C21" s="35"/>
      <c r="N21" s="51"/>
    </row>
    <row r="22" spans="1:14" x14ac:dyDescent="0.3">
      <c r="A22" s="27" t="s">
        <v>71</v>
      </c>
      <c r="B22" s="26">
        <v>0.2</v>
      </c>
      <c r="C22" s="35"/>
      <c r="J22" s="51"/>
    </row>
    <row r="23" spans="1:14" x14ac:dyDescent="0.3">
      <c r="A23" s="27" t="s">
        <v>72</v>
      </c>
      <c r="B23" s="40">
        <f>B21*B22</f>
        <v>691.6</v>
      </c>
      <c r="C23" s="35"/>
    </row>
    <row r="24" spans="1:14" ht="15.6" x14ac:dyDescent="0.3">
      <c r="A24" s="23" t="s">
        <v>216</v>
      </c>
      <c r="B24" s="103">
        <f>B21+B23</f>
        <v>4149.6000000000004</v>
      </c>
      <c r="C24" s="35"/>
    </row>
    <row r="26" spans="1:14" x14ac:dyDescent="0.3">
      <c r="J26" s="51"/>
    </row>
    <row r="27" spans="1:14" x14ac:dyDescent="0.3">
      <c r="J27" s="51"/>
    </row>
    <row r="28" spans="1:14" x14ac:dyDescent="0.3">
      <c r="N28" s="51"/>
    </row>
    <row r="29" spans="1:14" x14ac:dyDescent="0.3">
      <c r="N29" s="51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Henrique</dc:creator>
  <cp:lastModifiedBy>Fábio Henrique</cp:lastModifiedBy>
  <cp:revision>8</cp:revision>
  <dcterms:created xsi:type="dcterms:W3CDTF">2025-06-04T07:35:10Z</dcterms:created>
  <dcterms:modified xsi:type="dcterms:W3CDTF">2026-10-05T13:09:01Z</dcterms:modified>
</cp:coreProperties>
</file>