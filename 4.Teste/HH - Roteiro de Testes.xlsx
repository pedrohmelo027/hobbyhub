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bio\Desktop\Faculdade\hobbyhub\4.Teste\"/>
    </mc:Choice>
  </mc:AlternateContent>
  <xr:revisionPtr revIDLastSave="0" documentId="13_ncr:1_{94E8F70A-6918-4556-8C94-1EF7ABC5BE6F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Capa" sheetId="1" r:id="rId1"/>
    <sheet name="AUX" sheetId="2" state="hidden" r:id="rId2"/>
    <sheet name="UC01" sheetId="3" r:id="rId3"/>
    <sheet name="UC02" sheetId="4" r:id="rId4"/>
    <sheet name="UC03" sheetId="5" r:id="rId5"/>
    <sheet name="UC04" sheetId="6" r:id="rId6"/>
    <sheet name="UC05" sheetId="7" r:id="rId7"/>
    <sheet name="UC06" sheetId="8" r:id="rId8"/>
    <sheet name="UC07" sheetId="9" r:id="rId9"/>
    <sheet name="UC08" sheetId="10" r:id="rId10"/>
  </sheets>
  <definedNames>
    <definedName name="___xlfn_IFERROR">NA()</definedName>
    <definedName name="__xlfn_IFERROR">NA()</definedName>
    <definedName name="combo_SimNao">AUX!$A$2:$A$3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1" l="1"/>
  <c r="G21" i="1"/>
  <c r="F21" i="1"/>
  <c r="I21" i="1" s="1"/>
  <c r="D21" i="1"/>
  <c r="C21" i="1"/>
</calcChain>
</file>

<file path=xl/sharedStrings.xml><?xml version="1.0" encoding="utf-8"?>
<sst xmlns="http://schemas.openxmlformats.org/spreadsheetml/2006/main" count="216" uniqueCount="129">
  <si>
    <t>Hobby Hub</t>
  </si>
  <si>
    <t>Qde de Defeitos</t>
  </si>
  <si>
    <t>Caso de Uso</t>
  </si>
  <si>
    <t>Total de Cenários</t>
  </si>
  <si>
    <t>Ciclo 1</t>
  </si>
  <si>
    <t>Ciclo 2</t>
  </si>
  <si>
    <t>Ciclo 3</t>
  </si>
  <si>
    <t>UC01</t>
  </si>
  <si>
    <t>UC02</t>
  </si>
  <si>
    <t>UC03</t>
  </si>
  <si>
    <t>UC04</t>
  </si>
  <si>
    <t>UC05</t>
  </si>
  <si>
    <t>UC06</t>
  </si>
  <si>
    <t>UC07</t>
  </si>
  <si>
    <t>UC08</t>
  </si>
  <si>
    <t>Totais</t>
  </si>
  <si>
    <t>combo_SimNao</t>
  </si>
  <si>
    <t>Sim</t>
  </si>
  <si>
    <t>Não</t>
  </si>
  <si>
    <t>UC01 – CADASTRAR-SE</t>
  </si>
  <si>
    <t>Script de Teste:</t>
  </si>
  <si>
    <t>Massa de Teste:</t>
  </si>
  <si>
    <t>Pré-Condições:</t>
  </si>
  <si>
    <t>O usuário não pode ter cadastro no sistema</t>
  </si>
  <si>
    <t>Nr. Cenário</t>
  </si>
  <si>
    <t>Descrição</t>
  </si>
  <si>
    <t>Entradas</t>
  </si>
  <si>
    <t>Resultado Esperado</t>
  </si>
  <si>
    <t>Problemas/Observações</t>
  </si>
  <si>
    <t>Qde. Defeitos</t>
  </si>
  <si>
    <t>Qde. Ciclos</t>
  </si>
  <si>
    <t>UC02 – REALIZAR LOGIN</t>
  </si>
  <si>
    <t>O usuário deve ter conta cadastrada no sistema</t>
  </si>
  <si>
    <t>UC03 – EDITAR PERFIL</t>
  </si>
  <si>
    <t>O usuário deve ter conta cadastrada e logada em sua respectiva conta no sistema</t>
  </si>
  <si>
    <t>UC04 – VISUALIZAR PERFIL DE USUARIOS</t>
  </si>
  <si>
    <t>O usuário deve ter conta cadastrada e logada no sistema e deverá entrar no perfil de outro usuário</t>
  </si>
  <si>
    <t>UC05 – POSTAR</t>
  </si>
  <si>
    <t>O usuário deve estar logado no sistema e na tela de cadastrar post.</t>
  </si>
  <si>
    <t>UC06 – VISUALIZAR POSTS</t>
  </si>
  <si>
    <t>O usuário deve estar logado no sistema e na tela do feed.</t>
  </si>
  <si>
    <t>UC07 – MANTER POSTS</t>
  </si>
  <si>
    <t>O usuário Admin deve estar logado no sistema.</t>
  </si>
  <si>
    <t>UC08 – MANTER TAGS</t>
  </si>
  <si>
    <t>1. Acesse o cadastro. 2. Use D01 e envie. 3. Confirme que a conta foi criada. 4. Repita com D02 e confira se a duplicidade é tratada conforme regra aprovada.</t>
  </si>
  <si>
    <t>HH - Massa de Testes.csv; entradas identificadas por D01–D22. Dados fictícios. Os arquivos de imagem citados precisam ser preparados antes da execução.</t>
  </si>
  <si>
    <t>Cadastro válido</t>
  </si>
  <si>
    <t>D01: nome, e-mail, usuário, senha fictícia e biografia.</t>
  </si>
  <si>
    <t>Conta cadastrada e disponível para autenticação.</t>
  </si>
  <si>
    <t>E-mail já cadastrado</t>
  </si>
  <si>
    <t>D02: reutilize o e-mail de D01.</t>
  </si>
  <si>
    <t>1. Prepare as contas D01 e D03 no ambiente isolado. 2. Tente entrar com cada conjunto. 3. Confira o tipo de conta acessado. 4. Repita com a senha incorreta de D04 e confira que não há autenticação.</t>
  </si>
  <si>
    <t>Login de usuário</t>
  </si>
  <si>
    <t>D01: e-mail e senha da conta comum.</t>
  </si>
  <si>
    <t>A sessão autenticada pertence à conta comum.</t>
  </si>
  <si>
    <t>Login de administrador</t>
  </si>
  <si>
    <t>D03: e-mail e senha da conta administrativa.</t>
  </si>
  <si>
    <t>A sessão autenticada pertence à conta administrativa.</t>
  </si>
  <si>
    <t>Senha incorreta</t>
  </si>
  <si>
    <t>D04: e-mail existente e senha incorreta.</t>
  </si>
  <si>
    <t>O sistema não autentica a conta.</t>
  </si>
  <si>
    <t>1. Entre como D01. 2. Edite a biografia com D05 e salve. 3. Confira o perfil atualizado. 4. Repita a tentativa sem autenticação e confira que a alteração não é aplicada.</t>
  </si>
  <si>
    <t>Editar perfil autenticado</t>
  </si>
  <si>
    <t>D05: novo nome e biografia para D01.</t>
  </si>
  <si>
    <t>Os dados alterados aparecem no perfil.</t>
  </si>
  <si>
    <t>Editar sem autenticação</t>
  </si>
  <si>
    <t>D06: tentativa de alterar o perfil sem sessão.</t>
  </si>
  <si>
    <t>1. Entre como D01. 2. Abra o perfil indicado por D07. 3. Confira dados públicos e posts do perfil. 4. Repita a tentativa sem autenticação.</t>
  </si>
  <si>
    <t>Visualizar perfil existente</t>
  </si>
  <si>
    <t>D07: usuário existente.</t>
  </si>
  <si>
    <t>O perfil e seus posts são exibidos.</t>
  </si>
  <si>
    <t>Visualizar sem autenticação</t>
  </si>
  <si>
    <t>D08: abrir perfil sem sessão.</t>
  </si>
  <si>
    <t>1. Entre como D01. 2. Crie o post com D09, anexe o arquivo indicado e publique. 3. Confira post no feed. 4. Repita sem autenticação usando D10.</t>
  </si>
  <si>
    <t>Publicar post com imagem</t>
  </si>
  <si>
    <t>D09: tags de lazer e ciclismo, descrição e imagem de captura ou conquista.</t>
  </si>
  <si>
    <t>O post aparece no feed com descrição, tags e imagem anexada.</t>
  </si>
  <si>
    <t>Publicar sem imagem</t>
  </si>
  <si>
    <t>D11: tags e descrição sem arquivo de imagem.</t>
  </si>
  <si>
    <t>O post não é publicado sem a imagem prevista na história de usuário.</t>
  </si>
  <si>
    <t>Publicar sem autenticação</t>
  </si>
  <si>
    <t>D10: tentativa de publicação sem sessão autenticada.</t>
  </si>
  <si>
    <t>O post não é publicado; usuário precisa autenticar-se.</t>
  </si>
  <si>
    <t>1. Entre como D01. 2. Abra o feed e confira posts de outros usuários. 3. Filtre pela tag de D12. 4. Repita com a tag sem posts de D13.</t>
  </si>
  <si>
    <t>Visualizar feed</t>
  </si>
  <si>
    <t>D12: conta e posts existentes.</t>
  </si>
  <si>
    <t>Os posts disponíveis são exibidos no feed.</t>
  </si>
  <si>
    <t>Filtrar por tag existente</t>
  </si>
  <si>
    <t>D12: tag com posts cadastrados.</t>
  </si>
  <si>
    <t>O feed exibe posts associados à tag.</t>
  </si>
  <si>
    <t>Filtrar sem resultados</t>
  </si>
  <si>
    <t>D13: tag sem posts.</t>
  </si>
  <si>
    <t>1. Entre como administrador. 2. Crie, consulte, edite e remova o post conforme D14–D17. 3. Confira cada alteração no feed. 4. Repita uma alteração como usuário comum D01.</t>
  </si>
  <si>
    <t>Criar post para moderação</t>
  </si>
  <si>
    <t>D14: conteúdo de post fictício.</t>
  </si>
  <si>
    <t>O post é criado e aparece no sistema.</t>
  </si>
  <si>
    <t>Consultar post</t>
  </si>
  <si>
    <t>D15: identificador de post existente.</t>
  </si>
  <si>
    <t>Os detalhes do post são exibidos ao administrador.</t>
  </si>
  <si>
    <t>Editar post</t>
  </si>
  <si>
    <t>D16: identificador e nova descrição.</t>
  </si>
  <si>
    <t>A descrição atualizada aparece no sistema.</t>
  </si>
  <si>
    <t>Remover post</t>
  </si>
  <si>
    <t>O post removido deixa de aparecer no feed.</t>
  </si>
  <si>
    <t>Usuário comum tenta moderar</t>
  </si>
  <si>
    <t>D17: usuário sem perfil administrativo tenta editar D15.</t>
  </si>
  <si>
    <t>A alteração é bloqueada.</t>
  </si>
  <si>
    <t>1. Entre como administrador. 2. Crie, consulte, edite e remova a tag de D18–D21. 3. Tente criar tag sem nome usando D22. 4. Repita a tentativa como usuário comum D01.</t>
  </si>
  <si>
    <t>Criar tag</t>
  </si>
  <si>
    <t>D18: nome de tag “escalada”.</t>
  </si>
  <si>
    <t>A tag é criada e fica disponível para consulta.</t>
  </si>
  <si>
    <t>Consultar tags</t>
  </si>
  <si>
    <t>D18: lista de tags cadastradas.</t>
  </si>
  <si>
    <t>A tag criada aparece na lista.</t>
  </si>
  <si>
    <t>Editar tag</t>
  </si>
  <si>
    <t>D19: renomear “escalada” para “trilha”.</t>
  </si>
  <si>
    <t>A tag aparece com o novo nome.</t>
  </si>
  <si>
    <t>Remover tag sem uso</t>
  </si>
  <si>
    <t>D20: tag de teste sem post associado.</t>
  </si>
  <si>
    <t>A tag deixa de aparecer na lista.</t>
  </si>
  <si>
    <t>Criar tag sem nome</t>
  </si>
  <si>
    <t>D22: campo nome vazio.</t>
  </si>
  <si>
    <t>A tag sem nome não é criada.</t>
  </si>
  <si>
    <t>Usuário comum tenta manter tag</t>
  </si>
  <si>
    <t>D21: conta sem perfil administrativo.</t>
  </si>
  <si>
    <t>A conta duplicada não é criada.</t>
  </si>
  <si>
    <t>O usuário permanece na tela de login; a alteração não é aplicada.</t>
  </si>
  <si>
    <t>Nenhum conteúdo do perfil é exibido sem autenticação.</t>
  </si>
  <si>
    <t>Nenhum post com a tag selecionada foi encontrado.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</si>
</sst>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b/>
      <sz val="18"/>
      <color rgb="FF003366"/>
      <name val="Cambria"/>
      <family val="2"/>
      <charset val="1"/>
    </font>
    <font>
      <sz val="11"/>
      <color rgb="FF00000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theme="0"/>
      <name val="Arial"/>
      <family val="2"/>
      <charset val="1"/>
    </font>
    <font>
      <sz val="11"/>
      <name val="Arial"/>
      <family val="2"/>
      <charset val="1"/>
    </font>
    <font>
      <i/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33CCCC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5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" fillId="2" borderId="0" applyBorder="0" applyProtection="0"/>
    <xf numFmtId="0" fontId="2" fillId="3" borderId="1" applyProtection="0"/>
    <xf numFmtId="0" fontId="3" fillId="4" borderId="0" applyBorder="0" applyProtection="0"/>
    <xf numFmtId="0" fontId="21" fillId="0" borderId="0"/>
    <xf numFmtId="9" fontId="4" fillId="0" borderId="0" applyBorder="0" applyProtection="0"/>
    <xf numFmtId="0" fontId="5" fillId="0" borderId="0" applyBorder="0" applyProtection="0"/>
  </cellStyleXfs>
  <cellXfs count="37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8" fillId="5" borderId="6" xfId="0" applyFont="1" applyFill="1" applyBorder="1" applyAlignment="1">
      <alignment horizontal="center"/>
    </xf>
    <xf numFmtId="0" fontId="9" fillId="0" borderId="6" xfId="4" applyFont="1" applyBorder="1"/>
    <xf numFmtId="0" fontId="9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0" fillId="0" borderId="6" xfId="4" applyFont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11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0" xfId="0" applyFont="1" applyAlignment="1">
      <alignment wrapText="1"/>
    </xf>
    <xf numFmtId="0" fontId="14" fillId="5" borderId="6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vertical="center"/>
    </xf>
    <xf numFmtId="0" fontId="16" fillId="7" borderId="6" xfId="0" applyFont="1" applyFill="1" applyBorder="1" applyAlignment="1">
      <alignment vertical="center"/>
    </xf>
    <xf numFmtId="0" fontId="14" fillId="5" borderId="0" xfId="0" applyFont="1" applyFill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17" fillId="7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5" fillId="7" borderId="6" xfId="0" quotePrefix="1" applyFont="1" applyFill="1" applyBorder="1" applyAlignment="1">
      <alignment horizontal="center" wrapText="1"/>
    </xf>
    <xf numFmtId="0" fontId="6" fillId="0" borderId="14" xfId="0" quotePrefix="1" applyFont="1" applyBorder="1" applyAlignment="1">
      <alignment wrapText="1"/>
    </xf>
    <xf numFmtId="0" fontId="17" fillId="7" borderId="6" xfId="0" quotePrefix="1" applyFont="1" applyFill="1" applyBorder="1" applyAlignment="1">
      <alignment horizontal="center" vertical="center" wrapText="1"/>
    </xf>
    <xf numFmtId="0" fontId="19" fillId="0" borderId="14" xfId="0" quotePrefix="1" applyFont="1" applyBorder="1" applyAlignment="1">
      <alignment wrapText="1"/>
    </xf>
    <xf numFmtId="0" fontId="20" fillId="0" borderId="14" xfId="0" quotePrefix="1" applyFont="1" applyBorder="1" applyAlignment="1">
      <alignment wrapText="1"/>
    </xf>
    <xf numFmtId="0" fontId="20" fillId="0" borderId="0" xfId="0" quotePrefix="1" applyFont="1" applyAlignment="1">
      <alignment wrapText="1"/>
    </xf>
    <xf numFmtId="0" fontId="7" fillId="5" borderId="12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0" fontId="13" fillId="6" borderId="6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left" wrapText="1"/>
    </xf>
    <xf numFmtId="0" fontId="7" fillId="5" borderId="3" xfId="0" applyFont="1" applyFill="1" applyBorder="1" applyAlignment="1">
      <alignment horizontal="center" vertical="center"/>
    </xf>
  </cellXfs>
  <cellStyles count="7">
    <cellStyle name="Bom" xfId="1" xr:uid="{00000000-0005-0000-0000-000006000000}"/>
    <cellStyle name="Célula de Verificação" xfId="2" xr:uid="{00000000-0005-0000-0000-000007000000}"/>
    <cellStyle name="Neutra" xfId="3" xr:uid="{00000000-0005-0000-0000-000008000000}"/>
    <cellStyle name="Normal" xfId="0" builtinId="0"/>
    <cellStyle name="Normal 3" xfId="4" xr:uid="{00000000-0005-0000-0000-000009000000}"/>
    <cellStyle name="Porcentagem 2" xfId="5" xr:uid="{00000000-0005-0000-0000-00000A000000}"/>
    <cellStyle name="Título 5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zoomScaleNormal="100" workbookViewId="0">
      <selection activeCell="P17" sqref="P17"/>
    </sheetView>
  </sheetViews>
  <sheetFormatPr defaultColWidth="9" defaultRowHeight="13.8" x14ac:dyDescent="0.25"/>
  <cols>
    <col min="1" max="1" width="2.33203125" style="1" customWidth="1"/>
    <col min="2" max="2" width="4.33203125" style="1" customWidth="1"/>
    <col min="3" max="3" width="12.88671875" style="1" customWidth="1"/>
    <col min="4" max="4" width="17.33203125" style="2" customWidth="1"/>
    <col min="5" max="5" width="10.5546875" style="1" customWidth="1"/>
    <col min="6" max="6" width="11.33203125" style="1" customWidth="1"/>
    <col min="7" max="7" width="10.33203125" style="1" customWidth="1"/>
    <col min="8" max="8" width="9" style="1"/>
    <col min="9" max="9" width="9.44140625" style="1" customWidth="1"/>
    <col min="10" max="12" width="9" style="1"/>
    <col min="13" max="13" width="4.109375" style="1" customWidth="1"/>
    <col min="14" max="16384" width="9" style="1"/>
  </cols>
  <sheetData>
    <row r="1" spans="2:12" ht="5.25" customHeight="1" x14ac:dyDescent="0.25">
      <c r="D1" s="2">
        <v>2</v>
      </c>
    </row>
    <row r="2" spans="2:12" ht="17.399999999999999" x14ac:dyDescent="0.25">
      <c r="B2" s="3"/>
      <c r="C2" s="36" t="s">
        <v>0</v>
      </c>
      <c r="D2" s="36"/>
      <c r="E2" s="36"/>
      <c r="F2" s="36"/>
      <c r="G2" s="36"/>
      <c r="H2" s="36"/>
      <c r="I2" s="36"/>
      <c r="J2" s="36"/>
      <c r="K2" s="36"/>
      <c r="L2" s="36"/>
    </row>
    <row r="3" spans="2:12" x14ac:dyDescent="0.25">
      <c r="B3" s="4"/>
      <c r="D3" s="2">
        <v>2</v>
      </c>
      <c r="G3" s="1" t="s">
        <v>1</v>
      </c>
      <c r="L3" s="5"/>
    </row>
    <row r="4" spans="2:12" ht="15" customHeight="1" x14ac:dyDescent="0.25">
      <c r="B4" s="4"/>
      <c r="C4" s="6" t="s">
        <v>2</v>
      </c>
      <c r="D4" s="6">
        <v>2</v>
      </c>
      <c r="F4" s="6" t="s">
        <v>4</v>
      </c>
      <c r="G4" s="6" t="s">
        <v>5</v>
      </c>
      <c r="H4" s="6" t="s">
        <v>6</v>
      </c>
      <c r="L4" s="5"/>
    </row>
    <row r="5" spans="2:12" x14ac:dyDescent="0.25">
      <c r="B5" s="4"/>
      <c r="C5" s="7" t="s">
        <v>7</v>
      </c>
      <c r="D5" s="8">
        <v>2</v>
      </c>
      <c r="F5" s="9"/>
      <c r="G5" s="9"/>
      <c r="H5" s="9"/>
      <c r="L5" s="5"/>
    </row>
    <row r="6" spans="2:12" x14ac:dyDescent="0.25">
      <c r="B6" s="4"/>
      <c r="C6" s="7" t="s">
        <v>8</v>
      </c>
      <c r="D6" s="8">
        <v>3</v>
      </c>
      <c r="F6" s="9"/>
      <c r="G6" s="9"/>
      <c r="H6" s="9"/>
      <c r="L6" s="5"/>
    </row>
    <row r="7" spans="2:12" x14ac:dyDescent="0.25">
      <c r="B7" s="4"/>
      <c r="C7" s="10" t="s">
        <v>9</v>
      </c>
      <c r="D7" s="8">
        <v>2</v>
      </c>
      <c r="F7" s="9"/>
      <c r="G7" s="9"/>
      <c r="H7" s="9"/>
      <c r="L7" s="5"/>
    </row>
    <row r="8" spans="2:12" x14ac:dyDescent="0.25">
      <c r="B8" s="4"/>
      <c r="C8" s="10" t="s">
        <v>10</v>
      </c>
      <c r="D8" s="8">
        <v>2</v>
      </c>
      <c r="F8" s="9"/>
      <c r="G8" s="9"/>
      <c r="H8" s="9"/>
      <c r="L8" s="5"/>
    </row>
    <row r="9" spans="2:12" x14ac:dyDescent="0.25">
      <c r="B9" s="4"/>
      <c r="C9" s="10" t="s">
        <v>11</v>
      </c>
      <c r="D9" s="8">
        <v>3</v>
      </c>
      <c r="F9" s="9"/>
      <c r="G9" s="9"/>
      <c r="H9" s="9"/>
      <c r="L9" s="5"/>
    </row>
    <row r="10" spans="2:12" x14ac:dyDescent="0.25">
      <c r="B10" s="4"/>
      <c r="C10" s="10" t="s">
        <v>12</v>
      </c>
      <c r="D10" s="8">
        <v>3</v>
      </c>
      <c r="F10" s="9"/>
      <c r="G10" s="9"/>
      <c r="H10" s="9"/>
      <c r="L10" s="5"/>
    </row>
    <row r="11" spans="2:12" x14ac:dyDescent="0.25">
      <c r="B11" s="4"/>
      <c r="C11" s="10" t="s">
        <v>13</v>
      </c>
      <c r="D11" s="8">
        <v>5</v>
      </c>
      <c r="F11" s="9"/>
      <c r="G11" s="9"/>
      <c r="H11" s="9"/>
      <c r="L11" s="5"/>
    </row>
    <row r="12" spans="2:12" x14ac:dyDescent="0.25">
      <c r="B12" s="4"/>
      <c r="C12" s="10" t="s">
        <v>14</v>
      </c>
      <c r="D12" s="8">
        <v>6</v>
      </c>
      <c r="F12" s="9"/>
      <c r="G12" s="9"/>
      <c r="H12" s="9"/>
      <c r="L12" s="5"/>
    </row>
    <row r="13" spans="2:12" x14ac:dyDescent="0.25">
      <c r="B13" s="4"/>
      <c r="C13" s="7"/>
      <c r="D13" s="8"/>
      <c r="F13" s="9"/>
      <c r="G13" s="9"/>
      <c r="H13" s="9"/>
      <c r="L13" s="5"/>
    </row>
    <row r="14" spans="2:12" x14ac:dyDescent="0.25">
      <c r="B14" s="4"/>
      <c r="C14" s="7"/>
      <c r="D14" s="8"/>
      <c r="F14" s="9"/>
      <c r="G14" s="9"/>
      <c r="H14" s="9"/>
      <c r="L14" s="5"/>
    </row>
    <row r="15" spans="2:12" x14ac:dyDescent="0.25">
      <c r="B15" s="4"/>
      <c r="C15" s="7"/>
      <c r="D15" s="8"/>
      <c r="F15" s="9"/>
      <c r="G15" s="9"/>
      <c r="H15" s="9"/>
      <c r="L15" s="5"/>
    </row>
    <row r="16" spans="2:12" x14ac:dyDescent="0.25">
      <c r="B16" s="4"/>
      <c r="C16" s="7"/>
      <c r="D16" s="8"/>
      <c r="F16" s="9"/>
      <c r="G16" s="9"/>
      <c r="H16" s="9"/>
      <c r="L16" s="5"/>
    </row>
    <row r="17" spans="2:12" x14ac:dyDescent="0.25">
      <c r="B17" s="4"/>
      <c r="C17" s="7"/>
      <c r="D17" s="8"/>
      <c r="F17" s="9"/>
      <c r="G17" s="9"/>
      <c r="H17" s="9"/>
      <c r="L17" s="5"/>
    </row>
    <row r="18" spans="2:12" x14ac:dyDescent="0.25">
      <c r="B18" s="4"/>
      <c r="C18" s="7"/>
      <c r="D18" s="8"/>
      <c r="F18" s="9"/>
      <c r="G18" s="9"/>
      <c r="H18" s="9"/>
      <c r="L18" s="5"/>
    </row>
    <row r="19" spans="2:12" x14ac:dyDescent="0.25">
      <c r="B19" s="4"/>
      <c r="C19" s="7"/>
      <c r="D19" s="8"/>
      <c r="F19" s="9"/>
      <c r="G19" s="9"/>
      <c r="H19" s="9"/>
      <c r="L19" s="5"/>
    </row>
    <row r="20" spans="2:12" x14ac:dyDescent="0.25">
      <c r="B20" s="4"/>
      <c r="C20" s="11" t="s">
        <v>15</v>
      </c>
      <c r="D20" s="11"/>
      <c r="F20" s="12"/>
      <c r="G20" s="12"/>
      <c r="H20" s="13"/>
      <c r="L20" s="5"/>
    </row>
    <row r="21" spans="2:12" x14ac:dyDescent="0.25">
      <c r="B21" s="4"/>
      <c r="C21" s="8">
        <f>COUNTA(C5:C19)</f>
        <v>8</v>
      </c>
      <c r="D21" s="8">
        <f>SUM(D5:D19)</f>
        <v>26</v>
      </c>
      <c r="F21" s="8">
        <f>SUM(F5:F19)</f>
        <v>0</v>
      </c>
      <c r="G21" s="8">
        <f>SUM(G5:G19)</f>
        <v>0</v>
      </c>
      <c r="H21" s="8">
        <f>SUM(H5:H19)</f>
        <v>0</v>
      </c>
      <c r="I21" s="14">
        <f>SUM(F21:H21)</f>
        <v>0</v>
      </c>
      <c r="L21" s="5"/>
    </row>
    <row r="22" spans="2:12" x14ac:dyDescent="0.25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</sheetData>
  <mergeCells count="1">
    <mergeCell ref="C2:L2"/>
  </mergeCells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Normal="100" workbookViewId="0">
      <selection activeCell="B1" sqref="B1"/>
    </sheetView>
  </sheetViews>
  <sheetFormatPr defaultColWidth="8.6640625" defaultRowHeight="14.4" x14ac:dyDescent="0.3"/>
  <cols>
    <col min="1" max="1" width="14" customWidth="1"/>
    <col min="2" max="2" width="12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"/>
  <sheetViews>
    <sheetView zoomScaleNormal="100" workbookViewId="0">
      <pane ySplit="7" topLeftCell="A8" activePane="bottomLeft" state="frozen"/>
      <selection pane="bottomLeft" activeCell="D15" sqref="D15"/>
    </sheetView>
  </sheetViews>
  <sheetFormatPr defaultColWidth="9.109375" defaultRowHeight="13.8" x14ac:dyDescent="0.25"/>
  <cols>
    <col min="1" max="1" width="17.88671875" style="18" customWidth="1"/>
    <col min="2" max="2" width="39.109375" style="18" customWidth="1"/>
    <col min="3" max="3" width="42.33203125" style="18" customWidth="1"/>
    <col min="4" max="4" width="28.5546875" style="18" customWidth="1"/>
    <col min="5" max="5" width="38.6640625" style="18" customWidth="1"/>
    <col min="6" max="7" width="15.109375" style="18" customWidth="1"/>
    <col min="8" max="1638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2</v>
      </c>
      <c r="B2" s="33"/>
      <c r="C2" s="33"/>
    </row>
    <row r="3" spans="1:23" ht="15.75" customHeight="1" x14ac:dyDescent="0.25">
      <c r="A3" s="34" t="s">
        <v>19</v>
      </c>
      <c r="B3" s="34"/>
      <c r="C3" s="34"/>
    </row>
    <row r="4" spans="1:23" ht="16.5" customHeight="1" x14ac:dyDescent="0.25">
      <c r="A4" s="35" t="s">
        <v>20</v>
      </c>
      <c r="B4" s="35"/>
      <c r="C4" s="26" t="s">
        <v>44</v>
      </c>
    </row>
    <row r="5" spans="1:23" ht="15.75" customHeight="1" x14ac:dyDescent="0.25">
      <c r="A5" s="19" t="s">
        <v>21</v>
      </c>
      <c r="B5" s="19"/>
      <c r="C5" s="26" t="s">
        <v>45</v>
      </c>
    </row>
    <row r="6" spans="1:23" ht="15" customHeight="1" x14ac:dyDescent="0.25">
      <c r="A6" s="20" t="s">
        <v>22</v>
      </c>
      <c r="B6" s="20"/>
      <c r="C6" s="21" t="s">
        <v>23</v>
      </c>
    </row>
    <row r="7" spans="1:23" ht="15" customHeight="1" x14ac:dyDescent="0.25"/>
    <row r="8" spans="1:23" ht="15" customHeight="1" x14ac:dyDescent="0.25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27.6" x14ac:dyDescent="0.25">
      <c r="A9" s="23">
        <v>1</v>
      </c>
      <c r="B9" s="27" t="s">
        <v>46</v>
      </c>
      <c r="C9" s="27" t="s">
        <v>47</v>
      </c>
      <c r="D9" s="27" t="s">
        <v>48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27.6" x14ac:dyDescent="0.25">
      <c r="A10" s="23">
        <v>2</v>
      </c>
      <c r="B10" s="27" t="s">
        <v>49</v>
      </c>
      <c r="C10" s="27" t="s">
        <v>50</v>
      </c>
      <c r="D10" s="27" t="s">
        <v>125</v>
      </c>
      <c r="E10" s="28"/>
      <c r="F10" s="24"/>
      <c r="G10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"/>
  <sheetViews>
    <sheetView zoomScaleNormal="100" workbookViewId="0">
      <pane ySplit="7" topLeftCell="A8" activePane="bottomLeft" state="frozen"/>
      <selection pane="bottomLeft" activeCell="B24" sqref="B24"/>
    </sheetView>
  </sheetViews>
  <sheetFormatPr defaultColWidth="9.109375" defaultRowHeight="13.8" x14ac:dyDescent="0.25"/>
  <cols>
    <col min="1" max="1" width="17.88671875" style="18" customWidth="1"/>
    <col min="2" max="2" width="39.109375" style="18" customWidth="1"/>
    <col min="3" max="3" width="48" style="18" customWidth="1"/>
    <col min="4" max="4" width="28.5546875" style="18" customWidth="1"/>
    <col min="5" max="5" width="38.6640625" style="18" customWidth="1"/>
    <col min="6" max="6" width="15.109375" style="18" customWidth="1"/>
    <col min="7" max="7" width="12.6640625" style="18" customWidth="1"/>
    <col min="8" max="1638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3</v>
      </c>
      <c r="B2" s="33"/>
      <c r="C2" s="33"/>
    </row>
    <row r="3" spans="1:23" ht="15.75" customHeight="1" x14ac:dyDescent="0.25">
      <c r="A3" s="34" t="s">
        <v>31</v>
      </c>
      <c r="B3" s="34"/>
      <c r="C3" s="34"/>
    </row>
    <row r="4" spans="1:23" ht="16.5" customHeight="1" x14ac:dyDescent="0.25">
      <c r="A4" s="35" t="s">
        <v>20</v>
      </c>
      <c r="B4" s="35"/>
      <c r="C4" s="26" t="s">
        <v>51</v>
      </c>
    </row>
    <row r="5" spans="1:23" ht="15.75" customHeight="1" x14ac:dyDescent="0.25">
      <c r="A5" s="19" t="s">
        <v>21</v>
      </c>
      <c r="B5" s="19"/>
      <c r="C5" s="26" t="s">
        <v>45</v>
      </c>
    </row>
    <row r="6" spans="1:23" ht="15" customHeight="1" x14ac:dyDescent="0.25">
      <c r="A6" s="20" t="s">
        <v>22</v>
      </c>
      <c r="B6" s="20"/>
      <c r="C6" s="21" t="s">
        <v>32</v>
      </c>
    </row>
    <row r="7" spans="1:23" ht="15" customHeight="1" x14ac:dyDescent="0.25"/>
    <row r="8" spans="1:23" ht="15" customHeight="1" x14ac:dyDescent="0.25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27.6" x14ac:dyDescent="0.25">
      <c r="A9" s="23">
        <v>1</v>
      </c>
      <c r="B9" s="27" t="s">
        <v>52</v>
      </c>
      <c r="C9" s="27" t="s">
        <v>53</v>
      </c>
      <c r="D9" s="27" t="s">
        <v>54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41.4" x14ac:dyDescent="0.25">
      <c r="A10" s="23">
        <v>2</v>
      </c>
      <c r="B10" s="27" t="s">
        <v>55</v>
      </c>
      <c r="C10" s="27" t="s">
        <v>56</v>
      </c>
      <c r="D10" s="27" t="s">
        <v>57</v>
      </c>
      <c r="E10" s="24"/>
      <c r="F10" s="24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 ht="27.6" x14ac:dyDescent="0.25">
      <c r="A11" s="23">
        <v>3</v>
      </c>
      <c r="B11" s="27" t="s">
        <v>58</v>
      </c>
      <c r="C11" s="27" t="s">
        <v>59</v>
      </c>
      <c r="D11" s="27" t="s">
        <v>60</v>
      </c>
      <c r="E11" s="24"/>
      <c r="F11" s="24"/>
      <c r="G11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T10"/>
  <sheetViews>
    <sheetView zoomScaleNormal="100" workbookViewId="0">
      <pane ySplit="7" topLeftCell="A8" activePane="bottomLeft" state="frozen"/>
      <selection pane="bottomLeft" activeCell="D17" sqref="D17"/>
    </sheetView>
  </sheetViews>
  <sheetFormatPr defaultColWidth="9.109375" defaultRowHeight="14.4" x14ac:dyDescent="0.3"/>
  <cols>
    <col min="1" max="1" width="17.88671875" style="18" customWidth="1"/>
    <col min="2" max="2" width="39.109375" style="18" customWidth="1"/>
    <col min="3" max="3" width="48" style="18" customWidth="1"/>
    <col min="4" max="4" width="28.5546875" style="18" customWidth="1"/>
    <col min="5" max="5" width="38.6640625" style="18" customWidth="1"/>
    <col min="6" max="6" width="15.109375" style="18" customWidth="1"/>
    <col min="7" max="7" width="12.6640625" style="18" customWidth="1"/>
    <col min="8" max="25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2</v>
      </c>
      <c r="B2" s="33"/>
      <c r="C2" s="33"/>
    </row>
    <row r="3" spans="1:23" ht="15.75" customHeight="1" x14ac:dyDescent="0.3">
      <c r="A3" s="34" t="s">
        <v>33</v>
      </c>
      <c r="B3" s="34"/>
      <c r="C3" s="34"/>
    </row>
    <row r="4" spans="1:23" ht="16.5" customHeight="1" x14ac:dyDescent="0.3">
      <c r="A4" s="35" t="s">
        <v>20</v>
      </c>
      <c r="B4" s="35"/>
      <c r="C4" s="26" t="s">
        <v>61</v>
      </c>
    </row>
    <row r="5" spans="1:23" ht="15.75" customHeight="1" x14ac:dyDescent="0.3">
      <c r="A5" s="19" t="s">
        <v>21</v>
      </c>
      <c r="B5" s="19"/>
      <c r="C5" s="26" t="s">
        <v>45</v>
      </c>
    </row>
    <row r="6" spans="1:23" ht="15" customHeight="1" x14ac:dyDescent="0.3">
      <c r="A6" s="20" t="s">
        <v>22</v>
      </c>
      <c r="B6" s="20"/>
      <c r="C6" s="21" t="s">
        <v>34</v>
      </c>
    </row>
    <row r="7" spans="1:23" ht="15" customHeight="1" x14ac:dyDescent="0.3"/>
    <row r="8" spans="1:23" ht="15" customHeight="1" x14ac:dyDescent="0.3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28.2" x14ac:dyDescent="0.3">
      <c r="A9" s="23">
        <v>1</v>
      </c>
      <c r="B9" s="27" t="s">
        <v>62</v>
      </c>
      <c r="C9" s="27" t="s">
        <v>63</v>
      </c>
      <c r="D9" s="27" t="s">
        <v>64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42" x14ac:dyDescent="0.3">
      <c r="A10" s="23">
        <v>2</v>
      </c>
      <c r="B10" s="27" t="s">
        <v>65</v>
      </c>
      <c r="C10" s="27" t="s">
        <v>66</v>
      </c>
      <c r="D10" s="27" t="s">
        <v>126</v>
      </c>
      <c r="E10" s="28"/>
      <c r="F10" s="24"/>
      <c r="G10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T10"/>
  <sheetViews>
    <sheetView tabSelected="1" zoomScaleNormal="100" workbookViewId="0">
      <pane ySplit="7" topLeftCell="A8" activePane="bottomLeft" state="frozen"/>
      <selection pane="bottomLeft" activeCell="D17" sqref="D17"/>
    </sheetView>
  </sheetViews>
  <sheetFormatPr defaultColWidth="9.109375" defaultRowHeight="14.4" x14ac:dyDescent="0.3"/>
  <cols>
    <col min="1" max="1" width="17.88671875" style="18" customWidth="1"/>
    <col min="2" max="2" width="39.109375" style="18" customWidth="1"/>
    <col min="3" max="3" width="48" style="18" customWidth="1"/>
    <col min="4" max="4" width="28.5546875" style="18" customWidth="1"/>
    <col min="5" max="5" width="38.6640625" style="18" customWidth="1"/>
    <col min="6" max="6" width="15.109375" style="18" customWidth="1"/>
    <col min="7" max="7" width="12.6640625" style="18" customWidth="1"/>
    <col min="8" max="25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2</v>
      </c>
      <c r="B2" s="33"/>
      <c r="C2" s="33"/>
    </row>
    <row r="3" spans="1:23" ht="15.75" customHeight="1" x14ac:dyDescent="0.3">
      <c r="A3" s="34" t="s">
        <v>35</v>
      </c>
      <c r="B3" s="34"/>
      <c r="C3" s="34"/>
    </row>
    <row r="4" spans="1:23" ht="16.5" customHeight="1" x14ac:dyDescent="0.3">
      <c r="A4" s="35" t="s">
        <v>20</v>
      </c>
      <c r="B4" s="35"/>
      <c r="C4" s="26" t="s">
        <v>67</v>
      </c>
    </row>
    <row r="5" spans="1:23" ht="15.75" customHeight="1" x14ac:dyDescent="0.3">
      <c r="A5" s="19" t="s">
        <v>21</v>
      </c>
      <c r="B5" s="19"/>
      <c r="C5" s="26" t="s">
        <v>45</v>
      </c>
    </row>
    <row r="6" spans="1:23" ht="15" customHeight="1" x14ac:dyDescent="0.3">
      <c r="A6" s="20" t="s">
        <v>22</v>
      </c>
      <c r="B6" s="20"/>
      <c r="C6" s="21" t="s">
        <v>36</v>
      </c>
    </row>
    <row r="7" spans="1:23" ht="15" customHeight="1" x14ac:dyDescent="0.3"/>
    <row r="8" spans="1:23" ht="15" customHeight="1" x14ac:dyDescent="0.3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28.2" x14ac:dyDescent="0.3">
      <c r="A9" s="23">
        <v>1</v>
      </c>
      <c r="B9" s="27" t="s">
        <v>68</v>
      </c>
      <c r="C9" s="27" t="s">
        <v>69</v>
      </c>
      <c r="D9" s="27" t="s">
        <v>70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28.2" x14ac:dyDescent="0.3">
      <c r="A10" s="23">
        <v>2</v>
      </c>
      <c r="B10" s="27" t="s">
        <v>71</v>
      </c>
      <c r="C10" s="27" t="s">
        <v>72</v>
      </c>
      <c r="D10" s="27" t="s">
        <v>127</v>
      </c>
      <c r="E10" s="28"/>
      <c r="F10" s="24"/>
      <c r="G10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T11"/>
  <sheetViews>
    <sheetView zoomScaleNormal="100" workbookViewId="0">
      <pane ySplit="7" topLeftCell="A8" activePane="bottomLeft" state="frozen"/>
      <selection pane="bottomLeft" activeCell="C13" sqref="C13"/>
    </sheetView>
  </sheetViews>
  <sheetFormatPr defaultColWidth="9.109375" defaultRowHeight="14.4" x14ac:dyDescent="0.3"/>
  <cols>
    <col min="1" max="1" width="17.88671875" style="18" customWidth="1"/>
    <col min="2" max="2" width="39.109375" style="18" customWidth="1"/>
    <col min="3" max="3" width="48" style="18" customWidth="1"/>
    <col min="4" max="4" width="28.5546875" style="18" customWidth="1"/>
    <col min="5" max="5" width="38.6640625" style="18" customWidth="1"/>
    <col min="6" max="6" width="15.109375" style="18" customWidth="1"/>
    <col min="7" max="7" width="12.6640625" style="18" customWidth="1"/>
    <col min="8" max="25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3</v>
      </c>
      <c r="B2" s="33"/>
      <c r="C2" s="33"/>
    </row>
    <row r="3" spans="1:23" ht="15.75" customHeight="1" x14ac:dyDescent="0.3">
      <c r="A3" s="34" t="s">
        <v>37</v>
      </c>
      <c r="B3" s="34"/>
      <c r="C3" s="34"/>
    </row>
    <row r="4" spans="1:23" ht="16.5" customHeight="1" x14ac:dyDescent="0.3">
      <c r="A4" s="35" t="s">
        <v>20</v>
      </c>
      <c r="B4" s="35"/>
      <c r="C4" s="26" t="s">
        <v>73</v>
      </c>
    </row>
    <row r="5" spans="1:23" ht="15.75" customHeight="1" x14ac:dyDescent="0.3">
      <c r="A5" s="19" t="s">
        <v>21</v>
      </c>
      <c r="B5" s="19"/>
      <c r="C5" s="26" t="s">
        <v>45</v>
      </c>
    </row>
    <row r="6" spans="1:23" ht="15" customHeight="1" x14ac:dyDescent="0.3">
      <c r="A6" s="20" t="s">
        <v>22</v>
      </c>
      <c r="B6" s="20"/>
      <c r="C6" s="21" t="s">
        <v>38</v>
      </c>
    </row>
    <row r="7" spans="1:23" ht="15" customHeight="1" x14ac:dyDescent="0.3"/>
    <row r="8" spans="1:23" ht="15" customHeight="1" x14ac:dyDescent="0.3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45.6" x14ac:dyDescent="0.3">
      <c r="A9" s="23">
        <v>1</v>
      </c>
      <c r="B9" s="27" t="s">
        <v>74</v>
      </c>
      <c r="C9" s="27" t="s">
        <v>75</v>
      </c>
      <c r="D9" s="29" t="s">
        <v>76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45.6" x14ac:dyDescent="0.3">
      <c r="A10" s="23">
        <v>2</v>
      </c>
      <c r="B10" s="27" t="s">
        <v>77</v>
      </c>
      <c r="C10" s="27" t="s">
        <v>78</v>
      </c>
      <c r="D10" s="29" t="s">
        <v>79</v>
      </c>
      <c r="E10" s="24"/>
      <c r="F10" s="24"/>
      <c r="G10" s="24"/>
    </row>
    <row r="11" spans="1:23" ht="45.6" x14ac:dyDescent="0.3">
      <c r="A11" s="23">
        <v>3</v>
      </c>
      <c r="B11" s="27" t="s">
        <v>80</v>
      </c>
      <c r="C11" s="27" t="s">
        <v>81</v>
      </c>
      <c r="D11" s="29" t="s">
        <v>82</v>
      </c>
      <c r="E11" s="24"/>
      <c r="F11" s="24"/>
      <c r="G11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T11"/>
  <sheetViews>
    <sheetView zoomScaleNormal="100" workbookViewId="0">
      <pane ySplit="7" topLeftCell="A8" activePane="bottomLeft" state="frozen"/>
      <selection pane="bottomLeft" activeCell="E19" sqref="E19"/>
    </sheetView>
  </sheetViews>
  <sheetFormatPr defaultColWidth="9.109375" defaultRowHeight="14.4" x14ac:dyDescent="0.3"/>
  <cols>
    <col min="1" max="1" width="17.88671875" style="18" customWidth="1"/>
    <col min="2" max="2" width="39.109375" style="18" customWidth="1"/>
    <col min="3" max="3" width="48" style="18" customWidth="1"/>
    <col min="4" max="4" width="28.5546875" style="18" customWidth="1"/>
    <col min="5" max="5" width="38.6640625" style="18" customWidth="1"/>
    <col min="6" max="6" width="15.109375" style="18" customWidth="1"/>
    <col min="7" max="7" width="12.6640625" style="18" customWidth="1"/>
    <col min="8" max="25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3</v>
      </c>
      <c r="B2" s="33"/>
      <c r="C2" s="33"/>
    </row>
    <row r="3" spans="1:23" ht="15.75" customHeight="1" x14ac:dyDescent="0.3">
      <c r="A3" s="34" t="s">
        <v>39</v>
      </c>
      <c r="B3" s="34"/>
      <c r="C3" s="34"/>
    </row>
    <row r="4" spans="1:23" ht="16.5" customHeight="1" x14ac:dyDescent="0.3">
      <c r="A4" s="35" t="s">
        <v>20</v>
      </c>
      <c r="B4" s="35"/>
      <c r="C4" s="26" t="s">
        <v>83</v>
      </c>
    </row>
    <row r="5" spans="1:23" ht="15.75" customHeight="1" x14ac:dyDescent="0.3">
      <c r="A5" s="19" t="s">
        <v>21</v>
      </c>
      <c r="B5" s="19"/>
      <c r="C5" s="26" t="s">
        <v>45</v>
      </c>
    </row>
    <row r="6" spans="1:23" ht="15" customHeight="1" x14ac:dyDescent="0.3">
      <c r="A6" s="20" t="s">
        <v>22</v>
      </c>
      <c r="B6" s="20"/>
      <c r="C6" s="21" t="s">
        <v>40</v>
      </c>
    </row>
    <row r="7" spans="1:23" ht="15" customHeight="1" x14ac:dyDescent="0.3"/>
    <row r="8" spans="1:23" ht="15" customHeight="1" x14ac:dyDescent="0.3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30.6" x14ac:dyDescent="0.3">
      <c r="A9" s="23">
        <v>1</v>
      </c>
      <c r="B9" s="27" t="s">
        <v>84</v>
      </c>
      <c r="C9" s="27" t="s">
        <v>85</v>
      </c>
      <c r="D9" s="29" t="s">
        <v>86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30.6" x14ac:dyDescent="0.3">
      <c r="A10" s="23">
        <v>2</v>
      </c>
      <c r="B10" s="27" t="s">
        <v>87</v>
      </c>
      <c r="C10" s="27" t="s">
        <v>88</v>
      </c>
      <c r="D10" s="29" t="s">
        <v>89</v>
      </c>
      <c r="E10" s="24"/>
      <c r="F10" s="24"/>
      <c r="G10" s="24"/>
    </row>
    <row r="11" spans="1:23" ht="30.6" x14ac:dyDescent="0.3">
      <c r="A11" s="23">
        <v>3</v>
      </c>
      <c r="B11" s="27" t="s">
        <v>90</v>
      </c>
      <c r="C11" s="27" t="s">
        <v>91</v>
      </c>
      <c r="D11" s="29" t="s">
        <v>128</v>
      </c>
      <c r="E11" s="28"/>
      <c r="F11" s="24"/>
      <c r="G11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T13"/>
  <sheetViews>
    <sheetView zoomScaleNormal="100" workbookViewId="0">
      <pane ySplit="7" topLeftCell="A8" activePane="bottomLeft" state="frozen"/>
      <selection pane="bottomLeft" activeCell="D18" sqref="D18"/>
    </sheetView>
  </sheetViews>
  <sheetFormatPr defaultColWidth="9.109375" defaultRowHeight="14.4" x14ac:dyDescent="0.3"/>
  <cols>
    <col min="1" max="1" width="17.88671875" style="18" customWidth="1"/>
    <col min="2" max="2" width="39.109375" style="18" customWidth="1"/>
    <col min="3" max="3" width="48" style="18" customWidth="1"/>
    <col min="4" max="5" width="38.6640625" style="18" customWidth="1"/>
    <col min="6" max="6" width="15.109375" style="18" customWidth="1"/>
    <col min="7" max="7" width="12.6640625" style="18" customWidth="1"/>
    <col min="8" max="25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5</v>
      </c>
      <c r="B2" s="33"/>
      <c r="C2" s="33"/>
    </row>
    <row r="3" spans="1:23" ht="15.75" customHeight="1" x14ac:dyDescent="0.3">
      <c r="A3" s="34" t="s">
        <v>41</v>
      </c>
      <c r="B3" s="34"/>
      <c r="C3" s="34"/>
    </row>
    <row r="4" spans="1:23" ht="16.5" customHeight="1" x14ac:dyDescent="0.3">
      <c r="A4" s="35" t="s">
        <v>20</v>
      </c>
      <c r="B4" s="35"/>
      <c r="C4" s="26" t="s">
        <v>92</v>
      </c>
    </row>
    <row r="5" spans="1:23" ht="15.75" customHeight="1" x14ac:dyDescent="0.3">
      <c r="A5" s="19" t="s">
        <v>21</v>
      </c>
      <c r="B5" s="19"/>
      <c r="C5" s="26" t="s">
        <v>45</v>
      </c>
    </row>
    <row r="6" spans="1:23" ht="15" customHeight="1" x14ac:dyDescent="0.3">
      <c r="A6" s="20" t="s">
        <v>22</v>
      </c>
      <c r="B6" s="20"/>
      <c r="C6" s="21" t="s">
        <v>42</v>
      </c>
    </row>
    <row r="7" spans="1:23" ht="15" customHeight="1" x14ac:dyDescent="0.3"/>
    <row r="8" spans="1:23" ht="15" customHeight="1" x14ac:dyDescent="0.3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30.6" x14ac:dyDescent="0.3">
      <c r="A9" s="23">
        <v>1</v>
      </c>
      <c r="B9" s="27" t="s">
        <v>93</v>
      </c>
      <c r="C9" s="30" t="s">
        <v>94</v>
      </c>
      <c r="D9" s="31" t="s">
        <v>95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30.6" x14ac:dyDescent="0.3">
      <c r="A10" s="23">
        <v>2</v>
      </c>
      <c r="B10" s="27" t="s">
        <v>96</v>
      </c>
      <c r="C10" s="30" t="s">
        <v>97</v>
      </c>
      <c r="D10" s="31" t="s">
        <v>98</v>
      </c>
      <c r="E10" s="24"/>
      <c r="F10" s="24"/>
      <c r="G10" s="24"/>
    </row>
    <row r="11" spans="1:23" ht="30.6" x14ac:dyDescent="0.3">
      <c r="A11" s="23">
        <v>3</v>
      </c>
      <c r="B11" s="27" t="s">
        <v>99</v>
      </c>
      <c r="C11" s="30" t="s">
        <v>100</v>
      </c>
      <c r="D11" s="31" t="s">
        <v>101</v>
      </c>
      <c r="E11" s="24"/>
      <c r="F11" s="24"/>
      <c r="G11" s="24"/>
    </row>
    <row r="12" spans="1:23" ht="30.6" x14ac:dyDescent="0.3">
      <c r="A12" s="23">
        <v>4</v>
      </c>
      <c r="B12" s="27" t="s">
        <v>102</v>
      </c>
      <c r="C12" s="30" t="s">
        <v>97</v>
      </c>
      <c r="D12" s="31" t="s">
        <v>103</v>
      </c>
      <c r="E12" s="24"/>
      <c r="F12" s="24"/>
      <c r="G12" s="24"/>
    </row>
    <row r="13" spans="1:23" ht="30.6" x14ac:dyDescent="0.3">
      <c r="A13" s="23">
        <v>5</v>
      </c>
      <c r="B13" s="27" t="s">
        <v>104</v>
      </c>
      <c r="C13" s="30" t="s">
        <v>105</v>
      </c>
      <c r="D13" s="31" t="s">
        <v>106</v>
      </c>
      <c r="E13" s="24"/>
      <c r="F13" s="24"/>
      <c r="G13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T14"/>
  <sheetViews>
    <sheetView zoomScaleNormal="100" workbookViewId="0">
      <pane ySplit="7" topLeftCell="A8" activePane="bottomLeft" state="frozen"/>
      <selection pane="bottomLeft" activeCell="C21" sqref="C21"/>
    </sheetView>
  </sheetViews>
  <sheetFormatPr defaultColWidth="9.109375" defaultRowHeight="14.4" x14ac:dyDescent="0.3"/>
  <cols>
    <col min="1" max="1" width="17.88671875" style="18" customWidth="1"/>
    <col min="2" max="2" width="39.109375" style="18" customWidth="1"/>
    <col min="3" max="3" width="48" style="18" customWidth="1"/>
    <col min="4" max="5" width="38.6640625" style="18" customWidth="1"/>
    <col min="6" max="6" width="15.109375" style="18" customWidth="1"/>
    <col min="7" max="7" width="12.6640625" style="18" customWidth="1"/>
    <col min="8" max="254" width="9.109375" style="18"/>
  </cols>
  <sheetData>
    <row r="1" spans="1:23" ht="15" customHeight="1" x14ac:dyDescent="0.3">
      <c r="A1" s="32" t="s">
        <v>3</v>
      </c>
      <c r="B1" s="32"/>
      <c r="C1" s="32"/>
    </row>
    <row r="2" spans="1:23" ht="17.399999999999999" x14ac:dyDescent="0.3">
      <c r="A2" s="33">
        <v>6</v>
      </c>
      <c r="B2" s="33"/>
      <c r="C2" s="33"/>
    </row>
    <row r="3" spans="1:23" ht="15.75" customHeight="1" x14ac:dyDescent="0.3">
      <c r="A3" s="34" t="s">
        <v>43</v>
      </c>
      <c r="B3" s="34"/>
      <c r="C3" s="34"/>
    </row>
    <row r="4" spans="1:23" ht="16.5" customHeight="1" x14ac:dyDescent="0.3">
      <c r="A4" s="35" t="s">
        <v>20</v>
      </c>
      <c r="B4" s="35"/>
      <c r="C4" s="26" t="s">
        <v>107</v>
      </c>
    </row>
    <row r="5" spans="1:23" ht="15.75" customHeight="1" x14ac:dyDescent="0.3">
      <c r="A5" s="19" t="s">
        <v>21</v>
      </c>
      <c r="B5" s="19"/>
      <c r="C5" s="26" t="s">
        <v>45</v>
      </c>
    </row>
    <row r="6" spans="1:23" ht="15" customHeight="1" x14ac:dyDescent="0.3">
      <c r="A6" s="20" t="s">
        <v>22</v>
      </c>
      <c r="B6" s="20"/>
      <c r="C6" s="21" t="s">
        <v>42</v>
      </c>
    </row>
    <row r="7" spans="1:23" ht="15" customHeight="1" x14ac:dyDescent="0.3"/>
    <row r="8" spans="1:23" ht="15" customHeight="1" x14ac:dyDescent="0.3">
      <c r="A8" s="19" t="s">
        <v>24</v>
      </c>
      <c r="B8" s="19" t="s">
        <v>25</v>
      </c>
      <c r="C8" s="19" t="s">
        <v>26</v>
      </c>
      <c r="D8" s="19" t="s">
        <v>27</v>
      </c>
      <c r="E8" s="19" t="s">
        <v>28</v>
      </c>
      <c r="F8" s="22" t="s">
        <v>29</v>
      </c>
      <c r="G8" s="22" t="s">
        <v>30</v>
      </c>
    </row>
    <row r="9" spans="1:23" ht="30.6" x14ac:dyDescent="0.3">
      <c r="A9" s="23">
        <v>1</v>
      </c>
      <c r="B9" s="27" t="s">
        <v>108</v>
      </c>
      <c r="C9" s="30" t="s">
        <v>109</v>
      </c>
      <c r="D9" s="31" t="s">
        <v>110</v>
      </c>
      <c r="E9" s="24"/>
      <c r="F9" s="24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15.6" x14ac:dyDescent="0.3">
      <c r="A10" s="23">
        <v>2</v>
      </c>
      <c r="B10" s="27" t="s">
        <v>111</v>
      </c>
      <c r="C10" s="30" t="s">
        <v>112</v>
      </c>
      <c r="D10" s="31" t="s">
        <v>113</v>
      </c>
      <c r="E10" s="24"/>
      <c r="F10" s="24"/>
      <c r="G10" s="24"/>
    </row>
    <row r="11" spans="1:23" ht="15.6" x14ac:dyDescent="0.3">
      <c r="A11" s="23">
        <v>3</v>
      </c>
      <c r="B11" s="27" t="s">
        <v>114</v>
      </c>
      <c r="C11" s="30" t="s">
        <v>115</v>
      </c>
      <c r="D11" s="31" t="s">
        <v>116</v>
      </c>
      <c r="E11" s="24"/>
      <c r="F11" s="24"/>
      <c r="G11" s="24"/>
    </row>
    <row r="12" spans="1:23" ht="15.6" x14ac:dyDescent="0.3">
      <c r="A12" s="23">
        <v>4</v>
      </c>
      <c r="B12" s="27" t="s">
        <v>117</v>
      </c>
      <c r="C12" s="30" t="s">
        <v>118</v>
      </c>
      <c r="D12" s="31" t="s">
        <v>119</v>
      </c>
      <c r="E12" s="24"/>
      <c r="F12" s="24"/>
      <c r="G12" s="24"/>
    </row>
    <row r="13" spans="1:23" ht="15.6" x14ac:dyDescent="0.3">
      <c r="A13" s="23">
        <v>5</v>
      </c>
      <c r="B13" s="27" t="s">
        <v>120</v>
      </c>
      <c r="C13" s="30" t="s">
        <v>121</v>
      </c>
      <c r="D13" s="31" t="s">
        <v>122</v>
      </c>
      <c r="E13" s="28"/>
      <c r="F13" s="24"/>
      <c r="G13" s="24"/>
    </row>
    <row r="14" spans="1:23" ht="15.6" x14ac:dyDescent="0.3">
      <c r="A14" s="23">
        <v>6</v>
      </c>
      <c r="B14" s="27" t="s">
        <v>123</v>
      </c>
      <c r="C14" s="30" t="s">
        <v>124</v>
      </c>
      <c r="D14" s="31" t="s">
        <v>106</v>
      </c>
      <c r="E14" s="24"/>
      <c r="F14" s="24"/>
      <c r="G14" s="24"/>
    </row>
  </sheetData>
  <mergeCells count="4">
    <mergeCell ref="A1:C1"/>
    <mergeCell ref="A2:C2"/>
    <mergeCell ref="A3:C3"/>
    <mergeCell ref="A4:B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Capa</vt:lpstr>
      <vt:lpstr>AUX</vt:lpstr>
      <vt:lpstr>UC01</vt:lpstr>
      <vt:lpstr>UC02</vt:lpstr>
      <vt:lpstr>UC03</vt:lpstr>
      <vt:lpstr>UC04</vt:lpstr>
      <vt:lpstr>UC05</vt:lpstr>
      <vt:lpstr>UC06</vt:lpstr>
      <vt:lpstr>UC07</vt:lpstr>
      <vt:lpstr>UC08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Fábio Henrique</cp:lastModifiedBy>
  <cp:revision>2</cp:revision>
  <dcterms:created xsi:type="dcterms:W3CDTF">2026-10-05T07:33:34Z</dcterms:created>
  <dcterms:modified xsi:type="dcterms:W3CDTF">2026-10-21T01:41:57Z</dcterms:modified>
  <dc:language>en-US</dc:language>
</cp:coreProperties>
</file>